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9.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MSBA\Projects\Excel\Datacamp NRM case study\"/>
    </mc:Choice>
  </mc:AlternateContent>
  <xr:revisionPtr revIDLastSave="0" documentId="13_ncr:1_{F3B94587-A82C-4119-9AE3-7ECF37CFAEDE}" xr6:coauthVersionLast="47" xr6:coauthVersionMax="47" xr10:uidLastSave="{00000000-0000-0000-0000-000000000000}"/>
  <bookViews>
    <workbookView xWindow="-98" yWindow="-98" windowWidth="21795" windowHeight="11625" firstSheet="10" activeTab="14" xr2:uid="{5BBF3846-4C6D-4871-B649-C959D40EA238}"/>
  </bookViews>
  <sheets>
    <sheet name="External Data" sheetId="2" r:id="rId1"/>
    <sheet name="Brands per Supplier" sheetId="4" r:id="rId2"/>
    <sheet name="HealthMax YoY Growth" sheetId="5" r:id="rId3"/>
    <sheet name="MAT Value Total Category" sheetId="6" r:id="rId4"/>
    <sheet name="Market Share" sheetId="7" r:id="rId5"/>
    <sheet name="Internal Sales Data" sheetId="8" r:id="rId6"/>
    <sheet name="Profitability Matrix" sheetId="9" r:id="rId7"/>
    <sheet name="New Category Opportunity" sheetId="10" r:id="rId8"/>
    <sheet name="Organic Shampoo Launch" sheetId="11" r:id="rId9"/>
    <sheet name="50ml Shampoo 2024" sheetId="12" r:id="rId10"/>
    <sheet name="Promotion Graph" sheetId="13" r:id="rId11"/>
    <sheet name="Promotion Analysis" sheetId="14" r:id="rId12"/>
    <sheet name="Sales until 2022" sheetId="15" r:id="rId13"/>
    <sheet name="Forecast 2024" sheetId="16" r:id="rId14"/>
    <sheet name="Waterfall" sheetId="17" r:id="rId15"/>
  </sheets>
  <definedNames>
    <definedName name="_xlchart.v1.0" hidden="1">Waterfall!$A$1:$E$1</definedName>
    <definedName name="_xlchart.v1.1" hidden="1">Waterfall!$A$2:$E$2</definedName>
    <definedName name="ExternalData_1" localSheetId="9" hidden="1">'50ml Shampoo 2024'!$A$1:$H$12</definedName>
    <definedName name="ExternalData_1" localSheetId="5" hidden="1">'Internal Sales Data'!$A$1:$H$11</definedName>
    <definedName name="ExternalData_1" localSheetId="8" hidden="1">'Organic Shampoo Launch'!$A$1:$I$3</definedName>
    <definedName name="ExternalData_1" localSheetId="11" hidden="1">'Promotion Analysis'!$A$1:$J$4</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7" l="1"/>
  <c r="C2" i="17"/>
  <c r="B2" i="17"/>
  <c r="A2" i="17"/>
  <c r="E2" i="17" s="1"/>
  <c r="F8" i="16" l="1"/>
  <c r="F7" i="16"/>
  <c r="G6" i="16"/>
  <c r="J3" i="14"/>
  <c r="J4" i="14"/>
  <c r="J2" i="14"/>
  <c r="H3" i="14"/>
  <c r="H4" i="14"/>
  <c r="H2" i="14"/>
  <c r="G3" i="14"/>
  <c r="G4" i="14"/>
  <c r="G2" i="14"/>
  <c r="F3" i="14"/>
  <c r="F4" i="14"/>
  <c r="F2" i="14"/>
  <c r="H12" i="12"/>
  <c r="I12" i="12" s="1"/>
  <c r="E12" i="12"/>
  <c r="J12" i="12"/>
  <c r="M12" i="12"/>
  <c r="M2" i="12"/>
  <c r="M3" i="12"/>
  <c r="M4" i="12"/>
  <c r="M5" i="12"/>
  <c r="M6" i="12"/>
  <c r="M7" i="12"/>
  <c r="M8" i="12"/>
  <c r="M9" i="12"/>
  <c r="M10" i="12"/>
  <c r="M11" i="12"/>
  <c r="J11" i="12"/>
  <c r="K11" i="12" s="1"/>
  <c r="I11" i="12"/>
  <c r="J10" i="12"/>
  <c r="K10" i="12" s="1"/>
  <c r="I10" i="12"/>
  <c r="J9" i="12"/>
  <c r="K9" i="12" s="1"/>
  <c r="I9" i="12"/>
  <c r="J8" i="12"/>
  <c r="K8" i="12" s="1"/>
  <c r="I8" i="12"/>
  <c r="J7" i="12"/>
  <c r="K7" i="12" s="1"/>
  <c r="I7" i="12"/>
  <c r="J6" i="12"/>
  <c r="K6" i="12" s="1"/>
  <c r="I6" i="12"/>
  <c r="J5" i="12"/>
  <c r="K5" i="12" s="1"/>
  <c r="I5" i="12"/>
  <c r="J4" i="12"/>
  <c r="K4" i="12" s="1"/>
  <c r="I4" i="12"/>
  <c r="J3" i="12"/>
  <c r="K3" i="12" s="1"/>
  <c r="I3" i="12"/>
  <c r="J2" i="12"/>
  <c r="K2" i="12" s="1"/>
  <c r="I2" i="12"/>
  <c r="I3" i="11"/>
  <c r="I2" i="11"/>
  <c r="H3" i="11"/>
  <c r="H2" i="11"/>
  <c r="G3" i="11"/>
  <c r="G2" i="11"/>
  <c r="E3" i="11"/>
  <c r="E2" i="11"/>
  <c r="C3" i="11"/>
  <c r="C2" i="11"/>
  <c r="C17" i="10"/>
  <c r="M2" i="8"/>
  <c r="M3" i="8"/>
  <c r="M4" i="8"/>
  <c r="M5" i="8"/>
  <c r="M6" i="8"/>
  <c r="M7" i="8"/>
  <c r="M8" i="8"/>
  <c r="M9" i="8"/>
  <c r="M10" i="8"/>
  <c r="M11" i="8"/>
  <c r="C8" i="16"/>
  <c r="C7" i="16"/>
  <c r="K12" i="12" l="1"/>
  <c r="L12" i="12" s="1"/>
  <c r="L11" i="12"/>
  <c r="L8" i="12"/>
  <c r="L5" i="12"/>
  <c r="L6" i="12"/>
  <c r="L7" i="12"/>
  <c r="L9" i="12"/>
  <c r="L10" i="12"/>
  <c r="L3" i="12"/>
  <c r="L4" i="12"/>
  <c r="L2" i="12"/>
  <c r="J2" i="8"/>
  <c r="K2" i="8" s="1"/>
  <c r="L2" i="8" s="1"/>
  <c r="J3" i="8"/>
  <c r="K3" i="8" s="1"/>
  <c r="L3" i="8" s="1"/>
  <c r="J4" i="8"/>
  <c r="K4" i="8" s="1"/>
  <c r="L4" i="8" s="1"/>
  <c r="J5" i="8"/>
  <c r="K5" i="8" s="1"/>
  <c r="L5" i="8" s="1"/>
  <c r="J6" i="8"/>
  <c r="K6" i="8" s="1"/>
  <c r="L6" i="8" s="1"/>
  <c r="J7" i="8"/>
  <c r="K7" i="8" s="1"/>
  <c r="L7" i="8" s="1"/>
  <c r="J8" i="8"/>
  <c r="K8" i="8" s="1"/>
  <c r="L8" i="8" s="1"/>
  <c r="J9" i="8"/>
  <c r="K9" i="8" s="1"/>
  <c r="L9" i="8" s="1"/>
  <c r="J10" i="8"/>
  <c r="K10" i="8" s="1"/>
  <c r="L10" i="8" s="1"/>
  <c r="J11" i="8"/>
  <c r="K11" i="8" s="1"/>
  <c r="L11" i="8" s="1"/>
  <c r="I2" i="8"/>
  <c r="I3" i="8"/>
  <c r="I4" i="8"/>
  <c r="I5" i="8"/>
  <c r="I6" i="8"/>
  <c r="I7" i="8"/>
  <c r="I8" i="8"/>
  <c r="I9" i="8"/>
  <c r="I10" i="8"/>
  <c r="I11" i="8"/>
  <c r="H12" i="8"/>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D7" i="16"/>
  <c r="E7" i="16"/>
  <c r="E8" i="16"/>
  <c r="D8" i="16"/>
  <c r="K12" i="8" l="1"/>
  <c r="I12" i="8"/>
  <c r="L1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5BF0E-7D50-4D9D-88D9-481730D185A6}"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2" xr16:uid="{AB4FD0EA-928A-4BAF-A733-338DEFCFBB41}" keepAlive="1" name="Query - internal_sales_data (2)" description="Connection to the 'internal_sales_data (2)' query in the workbook." type="5" refreshedVersion="8" background="1" saveData="1">
    <dbPr connection="Provider=Microsoft.Mashup.OleDb.1;Data Source=$Workbook$;Location=&quot;internal_sales_data (2)&quot;;Extended Properties=&quot;&quot;" command="SELECT * FROM [internal_sales_data (2)]"/>
  </connection>
  <connection id="3" xr16:uid="{0B4B8423-D2C3-4ED3-9EEB-86A7BBD27307}"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4" xr16:uid="{3D3959B0-2EDE-41FC-8A41-C404E87AFDC1}"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<sst xmlns="http://schemas.openxmlformats.org/spreadsheetml/2006/main" count="22445" uniqueCount="138">
  <si>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</si>
  <si>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</si>
  <si>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</si>
  <si>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</si>
  <si>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</si>
  <si>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</si>
  <si>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</si>
  <si>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</si>
  <si>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</si>
  <si>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</si>
  <si>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</si>
  <si>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</si>
  <si>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</si>
  <si>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</si>
  <si>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</si>
  <si>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</si>
  <si>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</si>
  <si>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</si>
  <si>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</si>
  <si>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</si>
  <si>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</si>
  <si>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</si>
  <si>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</si>
  <si>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</si>
  <si>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</si>
  <si>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</si>
  <si>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</si>
  <si>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</si>
  <si>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</si>
  <si>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</si>
  <si>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</si>
  <si>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</si>
  <si>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</si>
  <si>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</si>
  <si>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</si>
  <si>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</si>
  <si>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</si>
  <si>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</si>
  <si>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</si>
  <si>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</si>
  <si>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</si>
  <si>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</si>
  <si>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</si>
  <si>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</si>
  <si>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</si>
  <si>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</si>
  <si>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</si>
  <si>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</si>
  <si>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</si>
  <si>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</si>
  <si>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</si>
  <si>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</si>
  <si>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</si>
  <si>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</si>
  <si>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</si>
  <si>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</si>
  <si>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</si>
  <si>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</si>
  <si>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</si>
  <si>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</si>
  <si>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Units Month</t>
  </si>
  <si>
    <t>Category</t>
  </si>
  <si>
    <t>Column Labels</t>
  </si>
  <si>
    <t>Sum of Values Month</t>
  </si>
  <si>
    <t>Units YTD</t>
  </si>
  <si>
    <t>Values YTD</t>
  </si>
  <si>
    <t>Units MAT</t>
  </si>
  <si>
    <t>Values MAT</t>
  </si>
  <si>
    <t>Sum of Values MAT</t>
  </si>
  <si>
    <t>Total turnover of the total shampoo category in the latest 12 months</t>
  </si>
  <si>
    <t>Out of 25 brands in the market, HealthMax owns 2 -  Shinez and Starbust.</t>
  </si>
  <si>
    <t>In 2020, HealthMax grew by about 4%, indicating the strongest growth so far.</t>
  </si>
  <si>
    <t>Insight: HealthMax is performing better in the South than in the rest of the country!</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</si>
  <si>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</si>
  <si>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</si>
  <si>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</si>
  <si>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</si>
  <si>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</si>
  <si>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</si>
  <si>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</si>
  <si>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</si>
  <si>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</si>
  <si>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</si>
  <si>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</si>
  <si>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</si>
  <si>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</si>
  <si>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</si>
  <si>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</si>
  <si>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</si>
  <si>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</si>
  <si>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</si>
  <si>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</si>
  <si>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</si>
  <si>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</si>
  <si>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</si>
  <si>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Net Sales 2022</t>
  </si>
  <si>
    <t>Gross Profit per unit</t>
  </si>
  <si>
    <t>Gross Profit per product</t>
  </si>
  <si>
    <t>Gross Margin</t>
  </si>
  <si>
    <t>68.5% of the average net selling price is gross profit!</t>
  </si>
  <si>
    <t>Net Sales Contribution</t>
  </si>
  <si>
    <t>Sum of Net Sales Contribution</t>
  </si>
  <si>
    <t>Sum of Units Month</t>
  </si>
  <si>
    <t>Sub-category 'Organic' is the fastest growing.</t>
  </si>
  <si>
    <t>Sum of Units MAT</t>
  </si>
  <si>
    <t>Estimated FY '24 Organic subcategory value</t>
  </si>
  <si>
    <t>Estimated Unit Market Share</t>
  </si>
  <si>
    <t>Estimated units sold 2024</t>
  </si>
  <si>
    <t>Net Sales</t>
  </si>
  <si>
    <t>HerbEssentials</t>
  </si>
  <si>
    <t>Herbashine</t>
  </si>
  <si>
    <t>If Healthmax's goal is to increase their gross profit as much as possible, then they must launch Herbashine next year, as it will generate $0.34M in net sales. Herbashine will generate less net sales than HerbEssentials, but more gross profit!</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</si>
  <si>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</si>
  <si>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</si>
  <si>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</si>
  <si>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</si>
  <si>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</si>
  <si>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</si>
  <si>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</si>
  <si>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</si>
  <si>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</si>
  <si>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</si>
  <si>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</si>
  <si>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</si>
  <si>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Buy 2, get 20% off is the most effective promotion.</t>
  </si>
  <si>
    <t>(The ROI for this promotion is 12% and is higher than Promotion #3. The ROI of Promotion #1 is negative and should not be repeated.)</t>
  </si>
  <si>
    <t>Market values</t>
  </si>
  <si>
    <t>Timeline</t>
  </si>
  <si>
    <t>Forecast</t>
  </si>
  <si>
    <t>Lower Confidence Bound</t>
  </si>
  <si>
    <t>Upper Confidence Bound</t>
  </si>
  <si>
    <t>Ratio</t>
  </si>
  <si>
    <t>Estimated net sales 2023</t>
  </si>
  <si>
    <t>Natural growth</t>
  </si>
  <si>
    <t>Organic shampoo</t>
  </si>
  <si>
    <t>50ml shampoo</t>
  </si>
  <si>
    <t>Estimated net sales 2024</t>
  </si>
  <si>
    <t>Few insights: 
- Starbust Ultra Soft 100ML is the most important product in the assortment.
- Shinez Repair 200ML is scoring relatively low in terms of net sales but is the most profitable product in the assortment.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</si>
</sst>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409]* #,##0_ ;_-[$$-409]* \-#,##0\ ;_-[$$-409]* &quot;-&quot;??_ ;_-@_ "/>
    <numFmt numFmtId="165" formatCode="_(&quot;$&quot;* #,##0_);_(&quot;$&quot;* \(#,##0\);_(&quot;$&quot;* &quot;-&quot;??_);_(@_)"/>
    <numFmt numFmtId="166" formatCode="0.0%"/>
    <numFmt numFmtId="167" formatCode="_(* #,##0_);_(* \(#,##0\);_(* &quot;-&quot;??_);_(@_)"/>
    <numFmt numFmtId="168" formatCode="_(&quot;$&quot;* #,##0.000_);_(&quot;$&quot;* \(#,##0.00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9" tint="0.39997558519241921"/>
      </top>
      <bottom style="thin">
        <color theme="9" tint="0.3999755851924192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4" fontId="0" fillId="0" borderId="0" xfId="2" applyFont="1"/>
    <xf numFmtId="165" fontId="0" fillId="0" borderId="0" xfId="2" applyNumberFormat="1" applyFont="1"/>
    <xf numFmtId="165" fontId="0" fillId="0" borderId="0" xfId="0" applyNumberFormat="1"/>
    <xf numFmtId="1" fontId="0" fillId="0" borderId="0" xfId="0" applyNumberFormat="1"/>
    <xf numFmtId="1" fontId="0" fillId="0" borderId="4" xfId="0" applyNumberFormat="1" applyBorder="1"/>
    <xf numFmtId="0" fontId="0" fillId="0" borderId="0" xfId="0" applyAlignment="1">
      <alignment wrapText="1"/>
    </xf>
    <xf numFmtId="9" fontId="0" fillId="0" borderId="0" xfId="0" applyNumberFormat="1"/>
    <xf numFmtId="167" fontId="0" fillId="0" borderId="0" xfId="1" applyNumberFormat="1" applyFont="1"/>
    <xf numFmtId="44" fontId="0" fillId="0" borderId="0" xfId="0" applyNumberFormat="1"/>
    <xf numFmtId="167" fontId="0" fillId="0" borderId="0" xfId="0" applyNumberFormat="1"/>
    <xf numFmtId="44" fontId="1" fillId="0" borderId="0" xfId="0" applyNumberFormat="1" applyFont="1"/>
    <xf numFmtId="9" fontId="0" fillId="0" borderId="0" xfId="3" applyFont="1"/>
    <xf numFmtId="166" fontId="1" fillId="0" borderId="0" xfId="3" applyNumberFormat="1" applyFont="1"/>
    <xf numFmtId="168" fontId="0" fillId="0" borderId="0" xfId="2" applyNumberFormat="1" applyFont="1"/>
    <xf numFmtId="0" fontId="0" fillId="0" borderId="11" xfId="0" applyBorder="1"/>
    <xf numFmtId="0" fontId="0" fillId="0" borderId="0" xfId="2" applyNumberFormat="1" applyFont="1"/>
    <xf numFmtId="0" fontId="0" fillId="0" borderId="6"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0" xfId="0" applyAlignment="1">
      <alignment horizontal="center" wrapText="1"/>
    </xf>
    <xf numFmtId="44" fontId="0" fillId="0" borderId="6" xfId="2" applyFont="1" applyBorder="1" applyAlignment="1">
      <alignment horizontal="center"/>
    </xf>
    <xf numFmtId="44" fontId="0" fillId="0" borderId="5" xfId="2" applyFont="1" applyBorder="1" applyAlignment="1">
      <alignment horizontal="center"/>
    </xf>
    <xf numFmtId="44" fontId="0" fillId="0" borderId="7" xfId="2" applyFont="1" applyBorder="1" applyAlignment="1">
      <alignment horizontal="center"/>
    </xf>
    <xf numFmtId="44" fontId="0" fillId="0" borderId="8" xfId="2" applyFont="1" applyBorder="1" applyAlignment="1">
      <alignment horizontal="center"/>
    </xf>
    <xf numFmtId="44" fontId="0" fillId="0" borderId="9" xfId="2" applyFont="1" applyBorder="1" applyAlignment="1">
      <alignment horizontal="center"/>
    </xf>
    <xf numFmtId="44" fontId="0" fillId="0" borderId="10" xfId="2" applyFont="1" applyBorder="1" applyAlignment="1">
      <alignment horizontal="center"/>
    </xf>
    <xf numFmtId="0" fontId="0" fillId="0" borderId="0" xfId="0" applyAlignment="1">
      <alignment horizontal="center"/>
    </xf>
  </cellXfs>
  <cellStyles count="4">
    <cellStyle name="Comma" xfId="1" builtinId="3"/>
    <cellStyle name="Currency" xfId="2" builtinId="4"/>
    <cellStyle name="Normal" xfId="0" builtinId="0"/>
    <cellStyle name="Percent" xfId="3" builtinId="5"/>
  </cellStyles>
  <dxfs count="59">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8" formatCode="_(&quot;$&quot;* #,##0.000_);_(&quot;$&quot;* \(#,##0.000\);_(&quot;$&quot;* &quot;-&quot;??_);_(@_)"/>
    </dxf>
    <dxf>
      <font>
        <b val="0"/>
        <i val="0"/>
        <strike val="0"/>
        <condense val="0"/>
        <extend val="0"/>
        <outline val="0"/>
        <shadow val="0"/>
        <u val="none"/>
        <vertAlign val="baseline"/>
        <sz val="11"/>
        <color theme="1"/>
        <name val="Calibri"/>
        <family val="2"/>
        <scheme val="minor"/>
      </font>
      <numFmt numFmtId="166" formatCode="0.0%"/>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65" formatCode="_(&quot;$&quot;* #,##0_);_(&quot;$&quot;* \(#,##0\);_(&quot;$&quot;*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165" formatCode="_(&quot;$&quot;* #,##0_);_(&quot;$&quot;* \(#,##0\);_(&quot;$&quot;* &quot;-&quot;??_);_(@_)"/>
    </dxf>
    <dxf>
      <numFmt numFmtId="167" formatCode="_(* #,##0_);_(* \(#,##0\);_(* &quot;-&quot;??_);_(@_)"/>
    </dxf>
    <dxf>
      <numFmt numFmtId="0" formatCode="General"/>
    </dxf>
    <dxf>
      <numFmt numFmtId="167" formatCode="_(* #,##0_);_(* \(#,##0\);_(* &quot;-&quot;??_);_(@_)"/>
    </dxf>
    <dxf>
      <font>
        <b val="0"/>
        <i val="0"/>
        <strike val="0"/>
        <condense val="0"/>
        <extend val="0"/>
        <outline val="0"/>
        <shadow val="0"/>
        <u val="none"/>
        <vertAlign val="baseline"/>
        <sz val="11"/>
        <color theme="1"/>
        <name val="Calibri"/>
        <family val="2"/>
        <scheme val="minor"/>
      </font>
      <numFmt numFmtId="166" formatCode="0.0%"/>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65" formatCode="_(&quot;$&quot;* #,##0_);_(&quot;$&quot;* \(#,##0\);_(&quot;$&quot;*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 formatCode="0"/>
    </dxf>
    <dxf>
      <numFmt numFmtId="165" formatCode="_(&quot;$&quot;* #,##0_);_(&quot;$&quot;* \(#,##0\);_(&quot;$&quot;* &quot;-&quot;??_);_(@_)"/>
    </dxf>
    <dxf>
      <numFmt numFmtId="0" formatCode="General"/>
    </dxf>
    <dxf>
      <numFmt numFmtId="165" formatCode="_(&quot;$&quot;* #,##0_);_(&quot;$&quot;* \(#,##0\);_(&quot;$&quot;* &quot;-&quot;??_);_(@_)"/>
    </dxf>
    <dxf>
      <numFmt numFmtId="0" formatCode="General"/>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[NRM Analysis – FMCG Shampoo Category.xlsx]Market Share!PivotTable5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Shampoo Brands Market Share Value Evolution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Starbust</c:v>
                </c:pt>
              </c:strCache>
            </c:strRef>
          </c:tx>
          <c:spPr>
            <a:ln w="28575" cap="rnd">
              <a:solidFill>
                <a:schemeClr val="accent1"/>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Share'!$B$5:$B$11</c:f>
              <c:numCache>
                <c:formatCode>0%</c:formatCode>
                <c:ptCount val="6"/>
                <c:pt idx="0">
                  <c:v>0.23893362627476761</c:v>
                </c:pt>
                <c:pt idx="1">
                  <c:v>0.21752099860794299</c:v>
                </c:pt>
                <c:pt idx="2">
                  <c:v>0.22335757650329049</c:v>
                </c:pt>
                <c:pt idx="3">
                  <c:v>0.224102323064961</c:v>
                </c:pt>
                <c:pt idx="4">
                  <c:v>0.21082810539549909</c:v>
                </c:pt>
                <c:pt idx="5">
                  <c:v>0.20283260164352532</c:v>
                </c:pt>
              </c:numCache>
            </c:numRef>
          </c:val>
          <c:smooth val="0"/>
          <c:extLst>
            <c:ext xmlns:c16="http://schemas.microsoft.com/office/drawing/2014/chart" uri="{C3380CC4-5D6E-409C-BE32-E72D297353CC}">
              <c16:uniqueId val="{00000000-79E0-4BDD-8F87-7B5CA4270DDA}"/>
            </c:ext>
          </c:extLst>
        </c:ser>
        <c:ser>
          <c:idx val="1"/>
          <c:order val="1"/>
          <c:tx>
            <c:strRef>
              <c:f>'Market Share'!$C$3:$C$4</c:f>
              <c:strCache>
                <c:ptCount val="1"/>
                <c:pt idx="0">
                  <c:v>Vitalize</c:v>
                </c:pt>
              </c:strCache>
            </c:strRef>
          </c:tx>
          <c:spPr>
            <a:ln w="28575" cap="rnd">
              <a:solidFill>
                <a:schemeClr val="accent2"/>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Share'!$C$5:$C$11</c:f>
              <c:numCache>
                <c:formatCode>0%</c:formatCode>
                <c:ptCount val="6"/>
                <c:pt idx="0">
                  <c:v>0.24638658527854879</c:v>
                </c:pt>
                <c:pt idx="1">
                  <c:v>0.222631989129527</c:v>
                </c:pt>
                <c:pt idx="2">
                  <c:v>0.20944458574807753</c:v>
                </c:pt>
                <c:pt idx="3">
                  <c:v>0.20953736669612458</c:v>
                </c:pt>
                <c:pt idx="4">
                  <c:v>0.19176428962759645</c:v>
                </c:pt>
                <c:pt idx="5">
                  <c:v>0.17748957478905797</c:v>
                </c:pt>
              </c:numCache>
            </c:numRef>
          </c:val>
          <c:smooth val="0"/>
          <c:extLst>
            <c:ext xmlns:c16="http://schemas.microsoft.com/office/drawing/2014/chart" uri="{C3380CC4-5D6E-409C-BE32-E72D297353CC}">
              <c16:uniqueId val="{00000001-79E0-4BDD-8F87-7B5CA4270DDA}"/>
            </c:ext>
          </c:extLst>
        </c:ser>
        <c:ser>
          <c:idx val="2"/>
          <c:order val="2"/>
          <c:tx>
            <c:strRef>
              <c:f>'Market Share'!$D$3:$D$4</c:f>
              <c:strCache>
                <c:ptCount val="1"/>
                <c:pt idx="0">
                  <c:v>Harmonix</c:v>
                </c:pt>
              </c:strCache>
            </c:strRef>
          </c:tx>
          <c:spPr>
            <a:ln w="28575" cap="rnd">
              <a:solidFill>
                <a:schemeClr val="accent3"/>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Share'!$D$5:$D$11</c:f>
              <c:numCache>
                <c:formatCode>0%</c:formatCode>
                <c:ptCount val="6"/>
                <c:pt idx="0">
                  <c:v>0.12754937759440738</c:v>
                </c:pt>
                <c:pt idx="1">
                  <c:v>0.14634042355648372</c:v>
                </c:pt>
                <c:pt idx="2">
                  <c:v>0.15954757259247856</c:v>
                </c:pt>
                <c:pt idx="3">
                  <c:v>0.16390616159783691</c:v>
                </c:pt>
                <c:pt idx="4">
                  <c:v>0.18720456909096214</c:v>
                </c:pt>
                <c:pt idx="5">
                  <c:v>0.18212524496331148</c:v>
                </c:pt>
              </c:numCache>
            </c:numRef>
          </c:val>
          <c:smooth val="0"/>
          <c:extLst>
            <c:ext xmlns:c16="http://schemas.microsoft.com/office/drawing/2014/chart" uri="{C3380CC4-5D6E-409C-BE32-E72D297353CC}">
              <c16:uniqueId val="{00000002-79E0-4BDD-8F87-7B5CA4270DDA}"/>
            </c:ext>
          </c:extLst>
        </c:ser>
        <c:ser>
          <c:idx val="3"/>
          <c:order val="3"/>
          <c:tx>
            <c:strRef>
              <c:f>'Market Share'!$E$3:$E$4</c:f>
              <c:strCache>
                <c:ptCount val="1"/>
                <c:pt idx="0">
                  <c:v>Shinez</c:v>
                </c:pt>
              </c:strCache>
            </c:strRef>
          </c:tx>
          <c:spPr>
            <a:ln w="28575" cap="rnd">
              <a:solidFill>
                <a:schemeClr val="accent4"/>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Share'!$E$5:$E$11</c:f>
              <c:numCache>
                <c:formatCode>0%</c:formatCode>
                <c:ptCount val="6"/>
                <c:pt idx="0">
                  <c:v>0.11931132206626169</c:v>
                </c:pt>
                <c:pt idx="1">
                  <c:v>0.11339207012090637</c:v>
                </c:pt>
                <c:pt idx="2">
                  <c:v>0.1231677111244002</c:v>
                </c:pt>
                <c:pt idx="3">
                  <c:v>0.12315495378217035</c:v>
                </c:pt>
                <c:pt idx="4">
                  <c:v>0.12367833967634967</c:v>
                </c:pt>
                <c:pt idx="5">
                  <c:v>0.14499272903971849</c:v>
                </c:pt>
              </c:numCache>
            </c:numRef>
          </c:val>
          <c:smooth val="0"/>
          <c:extLst>
            <c:ext xmlns:c16="http://schemas.microsoft.com/office/drawing/2014/chart" uri="{C3380CC4-5D6E-409C-BE32-E72D297353CC}">
              <c16:uniqueId val="{00000003-79E0-4BDD-8F87-7B5CA4270DDA}"/>
            </c:ext>
          </c:extLst>
        </c:ser>
        <c:ser>
          <c:idx val="4"/>
          <c:order val="4"/>
          <c:tx>
            <c:strRef>
              <c:f>'Market Share'!$F$3:$F$4</c:f>
              <c:strCache>
                <c:ptCount val="1"/>
                <c:pt idx="0">
                  <c:v>Diamond Shine</c:v>
                </c:pt>
              </c:strCache>
            </c:strRef>
          </c:tx>
          <c:spPr>
            <a:ln w="28575" cap="rnd">
              <a:solidFill>
                <a:schemeClr val="accent5"/>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Share'!$F$5:$F$11</c:f>
              <c:numCache>
                <c:formatCode>0%</c:formatCode>
                <c:ptCount val="6"/>
                <c:pt idx="0">
                  <c:v>4.2104526845521462E-2</c:v>
                </c:pt>
                <c:pt idx="1">
                  <c:v>5.3918943821206933E-2</c:v>
                </c:pt>
                <c:pt idx="2">
                  <c:v>5.1789283179524338E-2</c:v>
                </c:pt>
                <c:pt idx="3">
                  <c:v>6.2925047833421788E-2</c:v>
                </c:pt>
                <c:pt idx="4">
                  <c:v>6.3140114265998332E-2</c:v>
                </c:pt>
                <c:pt idx="5">
                  <c:v>8.7842705600267107E-2</c:v>
                </c:pt>
              </c:numCache>
            </c:numRef>
          </c:val>
          <c:smooth val="0"/>
          <c:extLst>
            <c:ext xmlns:c16="http://schemas.microsoft.com/office/drawing/2014/chart" uri="{C3380CC4-5D6E-409C-BE32-E72D297353CC}">
              <c16:uniqueId val="{00000004-79E0-4BDD-8F87-7B5CA4270DDA}"/>
            </c:ext>
          </c:extLst>
        </c:ser>
        <c:ser>
          <c:idx val="5"/>
          <c:order val="5"/>
          <c:tx>
            <c:strRef>
              <c:f>'Market Share'!$G$3:$G$4</c:f>
              <c:strCache>
                <c:ptCount val="1"/>
                <c:pt idx="0">
                  <c:v>Ocean Breeze</c:v>
                </c:pt>
              </c:strCache>
            </c:strRef>
          </c:tx>
          <c:spPr>
            <a:ln w="28575" cap="rnd">
              <a:solidFill>
                <a:schemeClr val="accent6"/>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Share'!$G$5:$G$11</c:f>
              <c:numCache>
                <c:formatCode>0%</c:formatCode>
                <c:ptCount val="6"/>
                <c:pt idx="0">
                  <c:v>4.6637934782502097E-2</c:v>
                </c:pt>
                <c:pt idx="1">
                  <c:v>3.769889850570577E-2</c:v>
                </c:pt>
                <c:pt idx="2">
                  <c:v>4.1879460734220372E-2</c:v>
                </c:pt>
                <c:pt idx="3">
                  <c:v>2.9721331618779427E-2</c:v>
                </c:pt>
                <c:pt idx="4">
                  <c:v>2.1197821661185372E-2</c:v>
                </c:pt>
                <c:pt idx="5">
                  <c:v>2.0220502923543587E-2</c:v>
                </c:pt>
              </c:numCache>
            </c:numRef>
          </c:val>
          <c:smooth val="0"/>
          <c:extLst>
            <c:ext xmlns:c16="http://schemas.microsoft.com/office/drawing/2014/chart" uri="{C3380CC4-5D6E-409C-BE32-E72D297353CC}">
              <c16:uniqueId val="{00000005-79E0-4BDD-8F87-7B5CA4270DDA}"/>
            </c:ext>
          </c:extLst>
        </c:ser>
        <c:ser>
          <c:idx val="6"/>
          <c:order val="6"/>
          <c:tx>
            <c:strRef>
              <c:f>'Market Share'!$H$3:$H$4</c:f>
              <c:strCache>
                <c:ptCount val="1"/>
                <c:pt idx="0">
                  <c:v>Orchid Oasis</c:v>
                </c:pt>
              </c:strCache>
            </c:strRef>
          </c:tx>
          <c:spPr>
            <a:ln w="28575" cap="rnd">
              <a:solidFill>
                <a:schemeClr val="accent1">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Share'!$H$5:$H$11</c:f>
              <c:numCache>
                <c:formatCode>0%</c:formatCode>
                <c:ptCount val="6"/>
                <c:pt idx="0">
                  <c:v>2.9771546216240334E-2</c:v>
                </c:pt>
                <c:pt idx="1">
                  <c:v>2.9143902754705464E-2</c:v>
                </c:pt>
                <c:pt idx="2">
                  <c:v>2.9569827572397143E-2</c:v>
                </c:pt>
                <c:pt idx="3">
                  <c:v>2.810165756041702E-2</c:v>
                </c:pt>
                <c:pt idx="4">
                  <c:v>3.8147589435700596E-2</c:v>
                </c:pt>
                <c:pt idx="5">
                  <c:v>2.428212443298168E-2</c:v>
                </c:pt>
              </c:numCache>
            </c:numRef>
          </c:val>
          <c:smooth val="0"/>
          <c:extLst>
            <c:ext xmlns:c16="http://schemas.microsoft.com/office/drawing/2014/chart" uri="{C3380CC4-5D6E-409C-BE32-E72D297353CC}">
              <c16:uniqueId val="{00000006-79E0-4BDD-8F87-7B5CA4270DDA}"/>
            </c:ext>
          </c:extLst>
        </c:ser>
        <c:ser>
          <c:idx val="7"/>
          <c:order val="7"/>
          <c:tx>
            <c:strRef>
              <c:f>'Market Share'!$I$3:$I$4</c:f>
              <c:strCache>
                <c:ptCount val="1"/>
                <c:pt idx="0">
                  <c:v>Oasis</c:v>
                </c:pt>
              </c:strCache>
            </c:strRef>
          </c:tx>
          <c:spPr>
            <a:ln w="28575" cap="rnd">
              <a:solidFill>
                <a:schemeClr val="accent2">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Share'!$I$5:$I$11</c:f>
              <c:numCache>
                <c:formatCode>0%</c:formatCode>
                <c:ptCount val="6"/>
                <c:pt idx="0">
                  <c:v>3.3728200603644162E-2</c:v>
                </c:pt>
                <c:pt idx="1">
                  <c:v>3.3132302411619026E-2</c:v>
                </c:pt>
                <c:pt idx="2">
                  <c:v>3.0564257278210889E-2</c:v>
                </c:pt>
                <c:pt idx="3">
                  <c:v>2.702317519843583E-2</c:v>
                </c:pt>
                <c:pt idx="4">
                  <c:v>2.2912115898460927E-2</c:v>
                </c:pt>
                <c:pt idx="5">
                  <c:v>6.4276912851799423E-3</c:v>
                </c:pt>
              </c:numCache>
            </c:numRef>
          </c:val>
          <c:smooth val="0"/>
          <c:extLst>
            <c:ext xmlns:c16="http://schemas.microsoft.com/office/drawing/2014/chart" uri="{C3380CC4-5D6E-409C-BE32-E72D297353CC}">
              <c16:uniqueId val="{00000007-79E0-4BDD-8F87-7B5CA4270DDA}"/>
            </c:ext>
          </c:extLst>
        </c:ser>
        <c:ser>
          <c:idx val="8"/>
          <c:order val="8"/>
          <c:tx>
            <c:strRef>
              <c:f>'Market Share'!$J$3:$J$4</c:f>
              <c:strCache>
                <c:ptCount val="1"/>
                <c:pt idx="0">
                  <c:v>Nourish</c:v>
                </c:pt>
              </c:strCache>
            </c:strRef>
          </c:tx>
          <c:spPr>
            <a:ln w="28575" cap="rnd">
              <a:solidFill>
                <a:schemeClr val="accent3">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Share'!$J$5:$J$11</c:f>
              <c:numCache>
                <c:formatCode>0%</c:formatCode>
                <c:ptCount val="6"/>
                <c:pt idx="0">
                  <c:v>2.8625370903148553E-2</c:v>
                </c:pt>
                <c:pt idx="1">
                  <c:v>2.3720144691600199E-2</c:v>
                </c:pt>
                <c:pt idx="2">
                  <c:v>2.047505617142692E-2</c:v>
                </c:pt>
                <c:pt idx="3">
                  <c:v>1.8460469170300736E-2</c:v>
                </c:pt>
                <c:pt idx="4">
                  <c:v>1.5523075811104053E-2</c:v>
                </c:pt>
                <c:pt idx="5">
                  <c:v>1.078840511089546E-2</c:v>
                </c:pt>
              </c:numCache>
            </c:numRef>
          </c:val>
          <c:smooth val="0"/>
          <c:extLst>
            <c:ext xmlns:c16="http://schemas.microsoft.com/office/drawing/2014/chart" uri="{C3380CC4-5D6E-409C-BE32-E72D297353CC}">
              <c16:uniqueId val="{00000008-79E0-4BDD-8F87-7B5CA4270DDA}"/>
            </c:ext>
          </c:extLst>
        </c:ser>
        <c:ser>
          <c:idx val="9"/>
          <c:order val="9"/>
          <c:tx>
            <c:strRef>
              <c:f>'Market Share'!$K$3:$K$4</c:f>
              <c:strCache>
                <c:ptCount val="1"/>
                <c:pt idx="0">
                  <c:v>Lavender Bloom</c:v>
                </c:pt>
              </c:strCache>
            </c:strRef>
          </c:tx>
          <c:spPr>
            <a:ln w="28575" cap="rnd">
              <a:solidFill>
                <a:schemeClr val="accent4">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Share'!$K$5:$K$11</c:f>
              <c:numCache>
                <c:formatCode>0%</c:formatCode>
                <c:ptCount val="6"/>
                <c:pt idx="0">
                  <c:v>4.1509525554520024E-3</c:v>
                </c:pt>
                <c:pt idx="1">
                  <c:v>9.8629039567745911E-3</c:v>
                </c:pt>
                <c:pt idx="2">
                  <c:v>1.2714885287793817E-2</c:v>
                </c:pt>
                <c:pt idx="3">
                  <c:v>2.4241525412038178E-2</c:v>
                </c:pt>
                <c:pt idx="4">
                  <c:v>3.2752477593480683E-2</c:v>
                </c:pt>
                <c:pt idx="5">
                  <c:v>4.6794426885858997E-2</c:v>
                </c:pt>
              </c:numCache>
            </c:numRef>
          </c:val>
          <c:smooth val="0"/>
          <c:extLst>
            <c:ext xmlns:c16="http://schemas.microsoft.com/office/drawing/2014/chart" uri="{C3380CC4-5D6E-409C-BE32-E72D297353CC}">
              <c16:uniqueId val="{00000009-79E0-4BDD-8F87-7B5CA4270DDA}"/>
            </c:ext>
          </c:extLst>
        </c:ser>
        <c:ser>
          <c:idx val="10"/>
          <c:order val="10"/>
          <c:tx>
            <c:strRef>
              <c:f>'Market Share'!$L$3:$L$4</c:f>
              <c:strCache>
                <c:ptCount val="1"/>
                <c:pt idx="0">
                  <c:v>Mango Tango</c:v>
                </c:pt>
              </c:strCache>
            </c:strRef>
          </c:tx>
          <c:spPr>
            <a:ln w="28575" cap="rnd">
              <a:solidFill>
                <a:schemeClr val="accent5">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Share'!$L$5:$L$11</c:f>
              <c:numCache>
                <c:formatCode>0%</c:formatCode>
                <c:ptCount val="6"/>
                <c:pt idx="0">
                  <c:v>1.7584658429132614E-2</c:v>
                </c:pt>
                <c:pt idx="1">
                  <c:v>1.8911155731874858E-2</c:v>
                </c:pt>
                <c:pt idx="2">
                  <c:v>1.7119546205245927E-2</c:v>
                </c:pt>
                <c:pt idx="3">
                  <c:v>1.6624949382712199E-2</c:v>
                </c:pt>
                <c:pt idx="4">
                  <c:v>1.3524828318974816E-2</c:v>
                </c:pt>
                <c:pt idx="5">
                  <c:v>1.2542844136252305E-2</c:v>
                </c:pt>
              </c:numCache>
            </c:numRef>
          </c:val>
          <c:smooth val="0"/>
          <c:extLst>
            <c:ext xmlns:c16="http://schemas.microsoft.com/office/drawing/2014/chart" uri="{C3380CC4-5D6E-409C-BE32-E72D297353CC}">
              <c16:uniqueId val="{0000000A-79E0-4BDD-8F87-7B5CA4270DDA}"/>
            </c:ext>
          </c:extLst>
        </c:ser>
        <c:ser>
          <c:idx val="11"/>
          <c:order val="11"/>
          <c:tx>
            <c:strRef>
              <c:f>'Market Share'!$M$3:$M$4</c:f>
              <c:strCache>
                <c:ptCount val="1"/>
                <c:pt idx="0">
                  <c:v>RedRose</c:v>
                </c:pt>
              </c:strCache>
            </c:strRef>
          </c:tx>
          <c:spPr>
            <a:ln w="28575" cap="rnd">
              <a:solidFill>
                <a:schemeClr val="accent6">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Share'!$M$5:$M$11</c:f>
              <c:numCache>
                <c:formatCode>0%</c:formatCode>
                <c:ptCount val="6"/>
                <c:pt idx="0">
                  <c:v>2.1405196106830941E-2</c:v>
                </c:pt>
                <c:pt idx="1">
                  <c:v>1.9018917307720252E-2</c:v>
                </c:pt>
                <c:pt idx="2">
                  <c:v>1.6990969534049279E-2</c:v>
                </c:pt>
                <c:pt idx="3">
                  <c:v>1.5319404414591875E-2</c:v>
                </c:pt>
                <c:pt idx="4">
                  <c:v>1.1268447307090992E-2</c:v>
                </c:pt>
                <c:pt idx="5">
                  <c:v>9.8052368941508941E-3</c:v>
                </c:pt>
              </c:numCache>
            </c:numRef>
          </c:val>
          <c:smooth val="0"/>
          <c:extLst>
            <c:ext xmlns:c16="http://schemas.microsoft.com/office/drawing/2014/chart" uri="{C3380CC4-5D6E-409C-BE32-E72D297353CC}">
              <c16:uniqueId val="{0000000B-79E0-4BDD-8F87-7B5CA4270DDA}"/>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Share'!$N$5:$N$11</c:f>
              <c:numCache>
                <c:formatCode>0%</c:formatCode>
                <c:ptCount val="6"/>
                <c:pt idx="0">
                  <c:v>1.0746180151136597E-2</c:v>
                </c:pt>
                <c:pt idx="1">
                  <c:v>1.4647827785489438E-2</c:v>
                </c:pt>
                <c:pt idx="2">
                  <c:v>1.512611147680684E-2</c:v>
                </c:pt>
                <c:pt idx="3">
                  <c:v>1.2164295948070565E-2</c:v>
                </c:pt>
                <c:pt idx="4">
                  <c:v>1.1839651764009196E-2</c:v>
                </c:pt>
                <c:pt idx="5">
                  <c:v>1.0473184902594608E-2</c:v>
                </c:pt>
              </c:numCache>
            </c:numRef>
          </c:val>
          <c:smooth val="0"/>
          <c:extLst>
            <c:ext xmlns:c16="http://schemas.microsoft.com/office/drawing/2014/chart" uri="{C3380CC4-5D6E-409C-BE32-E72D297353CC}">
              <c16:uniqueId val="{0000000C-79E0-4BDD-8F87-7B5CA4270DDA}"/>
            </c:ext>
          </c:extLst>
        </c:ser>
        <c:ser>
          <c:idx val="13"/>
          <c:order val="13"/>
          <c:tx>
            <c:strRef>
              <c:f>'Market Share'!$O$3:$O$4</c:f>
              <c:strCache>
                <c:ptCount val="1"/>
                <c:pt idx="0">
                  <c:v>VelvetLux</c:v>
                </c:pt>
              </c:strCache>
            </c:strRef>
          </c:tx>
          <c:spPr>
            <a:ln w="28575" cap="rnd">
              <a:solidFill>
                <a:schemeClr val="accent2">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Share'!$O$5:$O$11</c:f>
              <c:numCache>
                <c:formatCode>0%</c:formatCode>
                <c:ptCount val="6"/>
                <c:pt idx="0">
                  <c:v>5.8849257964876446E-4</c:v>
                </c:pt>
                <c:pt idx="1">
                  <c:v>2.0440558136883891E-2</c:v>
                </c:pt>
                <c:pt idx="2">
                  <c:v>8.4146922025785074E-3</c:v>
                </c:pt>
                <c:pt idx="3">
                  <c:v>1.522951109658948E-3</c:v>
                </c:pt>
                <c:pt idx="4">
                  <c:v>6.9090823827851582E-3</c:v>
                </c:pt>
                <c:pt idx="5">
                  <c:v>8.5604839529709181E-3</c:v>
                </c:pt>
              </c:numCache>
            </c:numRef>
          </c:val>
          <c:smooth val="0"/>
          <c:extLst>
            <c:ext xmlns:c16="http://schemas.microsoft.com/office/drawing/2014/chart" uri="{C3380CC4-5D6E-409C-BE32-E72D297353CC}">
              <c16:uniqueId val="{0000000D-79E0-4BDD-8F87-7B5CA4270DDA}"/>
            </c:ext>
          </c:extLst>
        </c:ser>
        <c:ser>
          <c:idx val="14"/>
          <c:order val="14"/>
          <c:tx>
            <c:strRef>
              <c:f>'Market Share'!$P$3:$P$4</c:f>
              <c:strCache>
                <c:ptCount val="1"/>
                <c:pt idx="0">
                  <c:v>Oceanic</c:v>
                </c:pt>
              </c:strCache>
            </c:strRef>
          </c:tx>
          <c:spPr>
            <a:ln w="28575" cap="rnd">
              <a:solidFill>
                <a:schemeClr val="accent3">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Share'!$P$5:$P$11</c:f>
              <c:numCache>
                <c:formatCode>0%</c:formatCode>
                <c:ptCount val="6"/>
                <c:pt idx="0">
                  <c:v>7.9070977713285046E-3</c:v>
                </c:pt>
                <c:pt idx="1">
                  <c:v>7.4757062898257141E-3</c:v>
                </c:pt>
                <c:pt idx="2">
                  <c:v>7.2443010606839447E-3</c:v>
                </c:pt>
                <c:pt idx="3">
                  <c:v>7.4553447310371588E-3</c:v>
                </c:pt>
                <c:pt idx="4">
                  <c:v>6.7982713565007957E-3</c:v>
                </c:pt>
                <c:pt idx="5">
                  <c:v>6.4535406086539812E-3</c:v>
                </c:pt>
              </c:numCache>
            </c:numRef>
          </c:val>
          <c:smooth val="0"/>
          <c:extLst>
            <c:ext xmlns:c16="http://schemas.microsoft.com/office/drawing/2014/chart" uri="{C3380CC4-5D6E-409C-BE32-E72D297353CC}">
              <c16:uniqueId val="{0000000E-79E0-4BDD-8F87-7B5CA4270DDA}"/>
            </c:ext>
          </c:extLst>
        </c:ser>
        <c:ser>
          <c:idx val="15"/>
          <c:order val="15"/>
          <c:tx>
            <c:strRef>
              <c:f>'Market Share'!$Q$3:$Q$4</c:f>
              <c:strCache>
                <c:ptCount val="1"/>
                <c:pt idx="0">
                  <c:v>Jasmine Mist</c:v>
                </c:pt>
              </c:strCache>
            </c:strRef>
          </c:tx>
          <c:spPr>
            <a:ln w="28575" cap="rnd">
              <a:solidFill>
                <a:schemeClr val="accent4">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Share'!$Q$5:$Q$11</c:f>
              <c:numCache>
                <c:formatCode>0%</c:formatCode>
                <c:ptCount val="6"/>
                <c:pt idx="0">
                  <c:v>0</c:v>
                </c:pt>
                <c:pt idx="1">
                  <c:v>5.2674138731522195E-4</c:v>
                </c:pt>
                <c:pt idx="2">
                  <c:v>4.4224715646912598E-3</c:v>
                </c:pt>
                <c:pt idx="3">
                  <c:v>7.3385964909900223E-3</c:v>
                </c:pt>
                <c:pt idx="4">
                  <c:v>1.5275612746357454E-2</c:v>
                </c:pt>
                <c:pt idx="5">
                  <c:v>1.852994226959593E-2</c:v>
                </c:pt>
              </c:numCache>
            </c:numRef>
          </c:val>
          <c:smooth val="0"/>
          <c:extLst>
            <c:ext xmlns:c16="http://schemas.microsoft.com/office/drawing/2014/chart" uri="{C3380CC4-5D6E-409C-BE32-E72D297353CC}">
              <c16:uniqueId val="{0000000F-79E0-4BDD-8F87-7B5CA4270DDA}"/>
            </c:ext>
          </c:extLst>
        </c:ser>
        <c:ser>
          <c:idx val="16"/>
          <c:order val="16"/>
          <c:tx>
            <c:strRef>
              <c:f>'Market Share'!$R$3:$R$4</c:f>
              <c:strCache>
                <c:ptCount val="1"/>
                <c:pt idx="0">
                  <c:v>Charisma</c:v>
                </c:pt>
              </c:strCache>
            </c:strRef>
          </c:tx>
          <c:spPr>
            <a:ln w="28575" cap="rnd">
              <a:solidFill>
                <a:schemeClr val="accent5">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Share'!$R$5:$R$11</c:f>
              <c:numCache>
                <c:formatCode>0%</c:formatCode>
                <c:ptCount val="6"/>
                <c:pt idx="0">
                  <c:v>5.9910031980130018E-3</c:v>
                </c:pt>
                <c:pt idx="1">
                  <c:v>6.5457947964695506E-3</c:v>
                </c:pt>
                <c:pt idx="2">
                  <c:v>4.3184030743208075E-3</c:v>
                </c:pt>
                <c:pt idx="3">
                  <c:v>6.3203460442711138E-3</c:v>
                </c:pt>
                <c:pt idx="4">
                  <c:v>5.4080695831967077E-3</c:v>
                </c:pt>
                <c:pt idx="5">
                  <c:v>5.1217417467840495E-3</c:v>
                </c:pt>
              </c:numCache>
            </c:numRef>
          </c:val>
          <c:smooth val="0"/>
          <c:extLst>
            <c:ext xmlns:c16="http://schemas.microsoft.com/office/drawing/2014/chart" uri="{C3380CC4-5D6E-409C-BE32-E72D297353CC}">
              <c16:uniqueId val="{00000010-79E0-4BDD-8F87-7B5CA4270DDA}"/>
            </c:ext>
          </c:extLst>
        </c:ser>
        <c:ser>
          <c:idx val="17"/>
          <c:order val="17"/>
          <c:tx>
            <c:strRef>
              <c:f>'Market Share'!$S$3:$S$4</c:f>
              <c:strCache>
                <c:ptCount val="1"/>
                <c:pt idx="0">
                  <c:v>Wild Flower</c:v>
                </c:pt>
              </c:strCache>
            </c:strRef>
          </c:tx>
          <c:spPr>
            <a:ln w="28575" cap="rnd">
              <a:solidFill>
                <a:schemeClr val="accent6">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Share'!$S$5:$S$11</c:f>
              <c:numCache>
                <c:formatCode>0%</c:formatCode>
                <c:ptCount val="6"/>
                <c:pt idx="0">
                  <c:v>1.1962719595748667E-3</c:v>
                </c:pt>
                <c:pt idx="1">
                  <c:v>2.0406281157516969E-3</c:v>
                </c:pt>
                <c:pt idx="2">
                  <c:v>2.7634856493191497E-3</c:v>
                </c:pt>
                <c:pt idx="3">
                  <c:v>3.6902970984336596E-3</c:v>
                </c:pt>
                <c:pt idx="4">
                  <c:v>1.028933997288832E-2</c:v>
                </c:pt>
                <c:pt idx="5">
                  <c:v>1.3860302955560991E-2</c:v>
                </c:pt>
              </c:numCache>
            </c:numRef>
          </c:val>
          <c:smooth val="0"/>
          <c:extLst>
            <c:ext xmlns:c16="http://schemas.microsoft.com/office/drawing/2014/chart" uri="{C3380CC4-5D6E-409C-BE32-E72D297353CC}">
              <c16:uniqueId val="{00000011-79E0-4BDD-8F87-7B5CA4270DDA}"/>
            </c:ext>
          </c:extLst>
        </c:ser>
        <c:ser>
          <c:idx val="18"/>
          <c:order val="18"/>
          <c:tx>
            <c:strRef>
              <c:f>'Market Share'!$T$3:$T$4</c:f>
              <c:strCache>
                <c:ptCount val="1"/>
                <c:pt idx="0">
                  <c:v>Wonder Waves</c:v>
                </c:pt>
              </c:strCache>
            </c:strRef>
          </c:tx>
          <c:spPr>
            <a:ln w="28575" cap="rnd">
              <a:solidFill>
                <a:schemeClr val="accent1">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Share'!$T$5:$T$11</c:f>
              <c:numCache>
                <c:formatCode>0%</c:formatCode>
                <c:ptCount val="6"/>
                <c:pt idx="0">
                  <c:v>3.1861221992051875E-3</c:v>
                </c:pt>
                <c:pt idx="1">
                  <c:v>5.2155630152184249E-3</c:v>
                </c:pt>
                <c:pt idx="2">
                  <c:v>6.6702471278077902E-3</c:v>
                </c:pt>
                <c:pt idx="3">
                  <c:v>6.8737722777691334E-3</c:v>
                </c:pt>
                <c:pt idx="4">
                  <c:v>3.1902851922191509E-4</c:v>
                </c:pt>
                <c:pt idx="5">
                  <c:v>2.6072804656811495E-5</c:v>
                </c:pt>
              </c:numCache>
            </c:numRef>
          </c:val>
          <c:smooth val="0"/>
          <c:extLst>
            <c:ext xmlns:c16="http://schemas.microsoft.com/office/drawing/2014/chart" uri="{C3380CC4-5D6E-409C-BE32-E72D297353CC}">
              <c16:uniqueId val="{00000012-79E0-4BDD-8F87-7B5CA4270DDA}"/>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Share'!$U$5:$U$11</c:f>
              <c:numCache>
                <c:formatCode>0%</c:formatCode>
                <c:ptCount val="6"/>
                <c:pt idx="0">
                  <c:v>3.5312823728125419E-3</c:v>
                </c:pt>
                <c:pt idx="1">
                  <c:v>3.4983892590354079E-3</c:v>
                </c:pt>
                <c:pt idx="2">
                  <c:v>3.4161300614927144E-3</c:v>
                </c:pt>
                <c:pt idx="3">
                  <c:v>3.334408887095395E-3</c:v>
                </c:pt>
                <c:pt idx="4">
                  <c:v>3.133911571992496E-3</c:v>
                </c:pt>
                <c:pt idx="5">
                  <c:v>3.2471070919593034E-3</c:v>
                </c:pt>
              </c:numCache>
            </c:numRef>
          </c:val>
          <c:smooth val="0"/>
          <c:extLst>
            <c:ext xmlns:c16="http://schemas.microsoft.com/office/drawing/2014/chart" uri="{C3380CC4-5D6E-409C-BE32-E72D297353CC}">
              <c16:uniqueId val="{00000013-79E0-4BDD-8F87-7B5CA4270DDA}"/>
            </c:ext>
          </c:extLst>
        </c:ser>
        <c:ser>
          <c:idx val="20"/>
          <c:order val="20"/>
          <c:tx>
            <c:strRef>
              <c:f>'Market Share'!$V$3:$V$4</c:f>
              <c:strCache>
                <c:ptCount val="1"/>
                <c:pt idx="0">
                  <c:v>Enchantress</c:v>
                </c:pt>
              </c:strCache>
            </c:strRef>
          </c:tx>
          <c:spPr>
            <a:ln w="28575" cap="rnd">
              <a:solidFill>
                <a:schemeClr val="accent3">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Share'!$V$5:$V$11</c:f>
              <c:numCache>
                <c:formatCode>0%</c:formatCode>
                <c:ptCount val="6"/>
                <c:pt idx="0">
                  <c:v>1.2656554063352888E-3</c:v>
                </c:pt>
                <c:pt idx="1">
                  <c:v>3.0641086382341893E-3</c:v>
                </c:pt>
                <c:pt idx="2">
                  <c:v>3.8840788604800379E-3</c:v>
                </c:pt>
                <c:pt idx="3">
                  <c:v>3.6711978778754392E-3</c:v>
                </c:pt>
                <c:pt idx="4">
                  <c:v>3.9348340099550775E-3</c:v>
                </c:pt>
                <c:pt idx="5">
                  <c:v>3.7503122218357655E-3</c:v>
                </c:pt>
              </c:numCache>
            </c:numRef>
          </c:val>
          <c:smooth val="0"/>
          <c:extLst>
            <c:ext xmlns:c16="http://schemas.microsoft.com/office/drawing/2014/chart" uri="{C3380CC4-5D6E-409C-BE32-E72D297353CC}">
              <c16:uniqueId val="{00000014-79E0-4BDD-8F87-7B5CA4270DDA}"/>
            </c:ext>
          </c:extLst>
        </c:ser>
        <c:ser>
          <c:idx val="21"/>
          <c:order val="21"/>
          <c:tx>
            <c:strRef>
              <c:f>'Market Share'!$W$3:$W$4</c:f>
              <c:strCache>
                <c:ptCount val="1"/>
                <c:pt idx="0">
                  <c:v>Pure Radiance</c:v>
                </c:pt>
              </c:strCache>
            </c:strRef>
          </c:tx>
          <c:spPr>
            <a:ln w="28575" cap="rnd">
              <a:solidFill>
                <a:schemeClr val="accent4">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Share'!$W$5:$W$11</c:f>
              <c:numCache>
                <c:formatCode>0%</c:formatCode>
                <c:ptCount val="6"/>
                <c:pt idx="0">
                  <c:v>7.323263444289097E-4</c:v>
                </c:pt>
                <c:pt idx="1">
                  <c:v>3.3487738063714811E-3</c:v>
                </c:pt>
                <c:pt idx="2">
                  <c:v>3.9159463414146587E-3</c:v>
                </c:pt>
                <c:pt idx="3">
                  <c:v>2.3037000180148475E-3</c:v>
                </c:pt>
                <c:pt idx="4">
                  <c:v>2.3363402739377081E-3</c:v>
                </c:pt>
                <c:pt idx="5">
                  <c:v>2.2057592739662523E-3</c:v>
                </c:pt>
              </c:numCache>
            </c:numRef>
          </c:val>
          <c:smooth val="0"/>
          <c:extLst>
            <c:ext xmlns:c16="http://schemas.microsoft.com/office/drawing/2014/chart" uri="{C3380CC4-5D6E-409C-BE32-E72D297353CC}">
              <c16:uniqueId val="{00000015-79E0-4BDD-8F87-7B5CA4270DDA}"/>
            </c:ext>
          </c:extLst>
        </c:ser>
        <c:ser>
          <c:idx val="22"/>
          <c:order val="22"/>
          <c:tx>
            <c:strRef>
              <c:f>'Market Share'!$X$3:$X$4</c:f>
              <c:strCache>
                <c:ptCount val="1"/>
                <c:pt idx="0">
                  <c:v>CitrusBurst</c:v>
                </c:pt>
              </c:strCache>
            </c:strRef>
          </c:tx>
          <c:spPr>
            <a:ln w="28575" cap="rnd">
              <a:solidFill>
                <a:schemeClr val="accent5">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Share'!$X$5:$X$11</c:f>
              <c:numCache>
                <c:formatCode>0%</c:formatCode>
                <c:ptCount val="6"/>
                <c:pt idx="0">
                  <c:v>2.4334057841440926E-3</c:v>
                </c:pt>
                <c:pt idx="1">
                  <c:v>2.1504252759870762E-3</c:v>
                </c:pt>
                <c:pt idx="2">
                  <c:v>1.947270808689186E-3</c:v>
                </c:pt>
                <c:pt idx="3">
                  <c:v>2.0042704640498873E-3</c:v>
                </c:pt>
                <c:pt idx="4">
                  <c:v>1.7584548142826988E-3</c:v>
                </c:pt>
                <c:pt idx="5">
                  <c:v>1.5763617695508229E-3</c:v>
                </c:pt>
              </c:numCache>
            </c:numRef>
          </c:val>
          <c:smooth val="0"/>
          <c:extLst>
            <c:ext xmlns:c16="http://schemas.microsoft.com/office/drawing/2014/chart" uri="{C3380CC4-5D6E-409C-BE32-E72D297353CC}">
              <c16:uniqueId val="{00000016-79E0-4BDD-8F87-7B5CA4270DDA}"/>
            </c:ext>
          </c:extLst>
        </c:ser>
        <c:ser>
          <c:idx val="23"/>
          <c:order val="23"/>
          <c:tx>
            <c:strRef>
              <c:f>'Market Share'!$Y$3:$Y$4</c:f>
              <c:strCache>
                <c:ptCount val="1"/>
                <c:pt idx="0">
                  <c:v>Golden Aura</c:v>
                </c:pt>
              </c:strCache>
            </c:strRef>
          </c:tx>
          <c:spPr>
            <a:ln w="28575" cap="rnd">
              <a:solidFill>
                <a:schemeClr val="accent6">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Share'!$Y$5:$Y$11</c:f>
              <c:numCache>
                <c:formatCode>0%</c:formatCode>
                <c:ptCount val="6"/>
                <c:pt idx="0">
                  <c:v>4.7140699169392697E-3</c:v>
                </c:pt>
                <c:pt idx="1">
                  <c:v>3.4329226032930441E-3</c:v>
                </c:pt>
                <c:pt idx="2">
                  <c:v>8.177722739087231E-4</c:v>
                </c:pt>
                <c:pt idx="3">
                  <c:v>1.558490065442788E-4</c:v>
                </c:pt>
                <c:pt idx="4">
                  <c:v>4.9373461308153525E-5</c:v>
                </c:pt>
                <c:pt idx="5">
                  <c:v>5.1102697127350529E-5</c:v>
                </c:pt>
              </c:numCache>
            </c:numRef>
          </c:val>
          <c:smooth val="0"/>
          <c:extLst>
            <c:ext xmlns:c16="http://schemas.microsoft.com/office/drawing/2014/chart" uri="{C3380CC4-5D6E-409C-BE32-E72D297353CC}">
              <c16:uniqueId val="{00000017-79E0-4BDD-8F87-7B5CA4270DDA}"/>
            </c:ext>
          </c:extLst>
        </c:ser>
        <c:ser>
          <c:idx val="24"/>
          <c:order val="24"/>
          <c:tx>
            <c:strRef>
              <c:f>'Market Share'!$Z$3:$Z$4</c:f>
              <c:strCache>
                <c:ptCount val="1"/>
                <c:pt idx="0">
                  <c:v>Wave</c:v>
                </c:pt>
              </c:strCache>
            </c:strRef>
          </c:tx>
          <c:spPr>
            <a:ln w="28575" cap="rnd">
              <a:solidFill>
                <a:schemeClr val="accent1">
                  <a:lumMod val="60000"/>
                  <a:lumOff val="4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Share'!$Z$5:$Z$11</c:f>
              <c:numCache>
                <c:formatCode>0%</c:formatCode>
                <c:ptCount val="6"/>
                <c:pt idx="0">
                  <c:v>1.5187946599753456E-3</c:v>
                </c:pt>
                <c:pt idx="1">
                  <c:v>2.3199102940576937E-3</c:v>
                </c:pt>
                <c:pt idx="2">
                  <c:v>4.3835756669089034E-4</c:v>
                </c:pt>
                <c:pt idx="3">
                  <c:v>4.6604314399833089E-5</c:v>
                </c:pt>
                <c:pt idx="4">
                  <c:v>6.2554611612140212E-6</c:v>
                </c:pt>
                <c:pt idx="5">
                  <c:v>0</c:v>
                </c:pt>
              </c:numCache>
            </c:numRef>
          </c:val>
          <c:smooth val="0"/>
          <c:extLst>
            <c:ext xmlns:c16="http://schemas.microsoft.com/office/drawing/2014/chart" uri="{C3380CC4-5D6E-409C-BE32-E72D297353CC}">
              <c16:uniqueId val="{00000018-79E0-4BDD-8F87-7B5CA4270DDA}"/>
            </c:ext>
          </c:extLst>
        </c:ser>
        <c:dLbls>
          <c:showLegendKey val="0"/>
          <c:showVal val="0"/>
          <c:showCatName val="0"/>
          <c:showSerName val="0"/>
          <c:showPercent val="0"/>
          <c:showBubbleSize val="0"/>
        </c:dLbls>
        <c:smooth val="0"/>
        <c:axId val="1144179135"/>
        <c:axId val="1144177215"/>
      </c:lineChart>
      <c:catAx>
        <c:axId val="114417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77215"/>
        <c:crosses val="autoZero"/>
        <c:auto val="1"/>
        <c:lblAlgn val="ctr"/>
        <c:lblOffset val="100"/>
        <c:noMultiLvlLbl val="0"/>
      </c:catAx>
      <c:valAx>
        <c:axId val="1144177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79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HealthMax Profitability Matrix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Matrix'!$A$17</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Matrix'!$B$17:$K$17</c:f>
              <c:numCache>
                <c:formatCode>0%</c:formatCode>
                <c:ptCount val="10"/>
                <c:pt idx="3">
                  <c:v>0.18619281693140505</c:v>
                </c:pt>
              </c:numCache>
            </c:numRef>
          </c:yVal>
          <c:smooth val="0"/>
          <c:extLst>
            <c:ext xmlns:c16="http://schemas.microsoft.com/office/drawing/2014/chart" uri="{C3380CC4-5D6E-409C-BE32-E72D297353CC}">
              <c16:uniqueId val="{00000000-4B49-4D33-B855-EAEC14B2AC59}"/>
            </c:ext>
          </c:extLst>
        </c:ser>
        <c:ser>
          <c:idx val="1"/>
          <c:order val="1"/>
          <c:tx>
            <c:strRef>
              <c:f>'Profitability Matrix'!$A$18</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Matrix'!$B$18:$K$18</c:f>
              <c:numCache>
                <c:formatCode>0%</c:formatCode>
                <c:ptCount val="10"/>
                <c:pt idx="5">
                  <c:v>9.6896202583240873E-2</c:v>
                </c:pt>
              </c:numCache>
            </c:numRef>
          </c:yVal>
          <c:smooth val="0"/>
          <c:extLst>
            <c:ext xmlns:c16="http://schemas.microsoft.com/office/drawing/2014/chart" uri="{C3380CC4-5D6E-409C-BE32-E72D297353CC}">
              <c16:uniqueId val="{00000001-4B49-4D33-B855-EAEC14B2AC59}"/>
            </c:ext>
          </c:extLst>
        </c:ser>
        <c:ser>
          <c:idx val="2"/>
          <c:order val="2"/>
          <c:tx>
            <c:strRef>
              <c:f>'Profitability Matrix'!$A$19</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Matrix'!$B$19:$K$19</c:f>
              <c:numCache>
                <c:formatCode>0%</c:formatCode>
                <c:ptCount val="10"/>
                <c:pt idx="7">
                  <c:v>9.6896119578325834E-2</c:v>
                </c:pt>
              </c:numCache>
            </c:numRef>
          </c:yVal>
          <c:smooth val="0"/>
          <c:extLst>
            <c:ext xmlns:c16="http://schemas.microsoft.com/office/drawing/2014/chart" uri="{C3380CC4-5D6E-409C-BE32-E72D297353CC}">
              <c16:uniqueId val="{00000002-4B49-4D33-B855-EAEC14B2AC59}"/>
            </c:ext>
          </c:extLst>
        </c:ser>
        <c:ser>
          <c:idx val="3"/>
          <c:order val="3"/>
          <c:tx>
            <c:strRef>
              <c:f>'Profitability Matrix'!$A$20</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Matrix'!$B$20:$K$20</c:f>
              <c:numCache>
                <c:formatCode>0%</c:formatCode>
                <c:ptCount val="10"/>
                <c:pt idx="9">
                  <c:v>6.8397319470522966E-2</c:v>
                </c:pt>
              </c:numCache>
            </c:numRef>
          </c:yVal>
          <c:smooth val="0"/>
          <c:extLst>
            <c:ext xmlns:c16="http://schemas.microsoft.com/office/drawing/2014/chart" uri="{C3380CC4-5D6E-409C-BE32-E72D297353CC}">
              <c16:uniqueId val="{00000003-4B49-4D33-B855-EAEC14B2AC59}"/>
            </c:ext>
          </c:extLst>
        </c:ser>
        <c:ser>
          <c:idx val="4"/>
          <c:order val="4"/>
          <c:tx>
            <c:strRef>
              <c:f>'Profitability Matrix'!$A$21</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Matrix'!$B$21:$K$21</c:f>
              <c:numCache>
                <c:formatCode>0%</c:formatCode>
                <c:ptCount val="10"/>
                <c:pt idx="4">
                  <c:v>9.8241009155398171E-2</c:v>
                </c:pt>
              </c:numCache>
            </c:numRef>
          </c:yVal>
          <c:smooth val="0"/>
          <c:extLst>
            <c:ext xmlns:c16="http://schemas.microsoft.com/office/drawing/2014/chart" uri="{C3380CC4-5D6E-409C-BE32-E72D297353CC}">
              <c16:uniqueId val="{00000004-4B49-4D33-B855-EAEC14B2AC59}"/>
            </c:ext>
          </c:extLst>
        </c:ser>
        <c:ser>
          <c:idx val="5"/>
          <c:order val="5"/>
          <c:tx>
            <c:strRef>
              <c:f>'Profitability Matrix'!$A$22</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Matrix'!$B$22:$K$22</c:f>
              <c:numCache>
                <c:formatCode>0%</c:formatCode>
                <c:ptCount val="10"/>
                <c:pt idx="0">
                  <c:v>4.7426625718030961E-2</c:v>
                </c:pt>
              </c:numCache>
            </c:numRef>
          </c:yVal>
          <c:smooth val="0"/>
          <c:extLst>
            <c:ext xmlns:c16="http://schemas.microsoft.com/office/drawing/2014/chart" uri="{C3380CC4-5D6E-409C-BE32-E72D297353CC}">
              <c16:uniqueId val="{00000005-4B49-4D33-B855-EAEC14B2AC59}"/>
            </c:ext>
          </c:extLst>
        </c:ser>
        <c:ser>
          <c:idx val="6"/>
          <c:order val="6"/>
          <c:tx>
            <c:strRef>
              <c:f>'Profitability Matrix'!$A$23</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Matrix'!$B$23:$K$23</c:f>
              <c:numCache>
                <c:formatCode>0%</c:formatCode>
                <c:ptCount val="10"/>
                <c:pt idx="1">
                  <c:v>4.178071928534096E-2</c:v>
                </c:pt>
              </c:numCache>
            </c:numRef>
          </c:yVal>
          <c:smooth val="0"/>
          <c:extLst>
            <c:ext xmlns:c16="http://schemas.microsoft.com/office/drawing/2014/chart" uri="{C3380CC4-5D6E-409C-BE32-E72D297353CC}">
              <c16:uniqueId val="{00000006-4B49-4D33-B855-EAEC14B2AC59}"/>
            </c:ext>
          </c:extLst>
        </c:ser>
        <c:ser>
          <c:idx val="7"/>
          <c:order val="7"/>
          <c:tx>
            <c:strRef>
              <c:f>'Profitability Matrix'!$A$24</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Matrix'!$B$24:$K$24</c:f>
              <c:numCache>
                <c:formatCode>0%</c:formatCode>
                <c:ptCount val="10"/>
                <c:pt idx="8">
                  <c:v>0.17502703482289086</c:v>
                </c:pt>
              </c:numCache>
            </c:numRef>
          </c:yVal>
          <c:smooth val="0"/>
          <c:extLst>
            <c:ext xmlns:c16="http://schemas.microsoft.com/office/drawing/2014/chart" uri="{C3380CC4-5D6E-409C-BE32-E72D297353CC}">
              <c16:uniqueId val="{00000007-4B49-4D33-B855-EAEC14B2AC59}"/>
            </c:ext>
          </c:extLst>
        </c:ser>
        <c:ser>
          <c:idx val="8"/>
          <c:order val="8"/>
          <c:tx>
            <c:strRef>
              <c:f>'Profitability Matrix'!$A$25</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Matrix'!$B$25:$K$25</c:f>
              <c:numCache>
                <c:formatCode>0%</c:formatCode>
                <c:ptCount val="10"/>
                <c:pt idx="2">
                  <c:v>0.11856673518754952</c:v>
                </c:pt>
              </c:numCache>
            </c:numRef>
          </c:yVal>
          <c:smooth val="0"/>
          <c:extLst>
            <c:ext xmlns:c16="http://schemas.microsoft.com/office/drawing/2014/chart" uri="{C3380CC4-5D6E-409C-BE32-E72D297353CC}">
              <c16:uniqueId val="{00000008-4B49-4D33-B855-EAEC14B2AC59}"/>
            </c:ext>
          </c:extLst>
        </c:ser>
        <c:ser>
          <c:idx val="9"/>
          <c:order val="9"/>
          <c:tx>
            <c:strRef>
              <c:f>'Profitability Matrix'!$A$26</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Matrix'!$B$16:$K$16</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Matrix'!$B$26:$K$26</c:f>
              <c:numCache>
                <c:formatCode>0%</c:formatCode>
                <c:ptCount val="10"/>
                <c:pt idx="6">
                  <c:v>7.0575417267294702E-2</c:v>
                </c:pt>
              </c:numCache>
            </c:numRef>
          </c:yVal>
          <c:smooth val="0"/>
          <c:extLst>
            <c:ext xmlns:c16="http://schemas.microsoft.com/office/drawing/2014/chart" uri="{C3380CC4-5D6E-409C-BE32-E72D297353CC}">
              <c16:uniqueId val="{00000009-4B49-4D33-B855-EAEC14B2AC59}"/>
            </c:ext>
          </c:extLst>
        </c:ser>
        <c:dLbls>
          <c:showLegendKey val="0"/>
          <c:showVal val="0"/>
          <c:showCatName val="0"/>
          <c:showSerName val="0"/>
          <c:showPercent val="0"/>
          <c:showBubbleSize val="0"/>
        </c:dLbls>
        <c:axId val="1146279999"/>
        <c:axId val="1146281439"/>
      </c:scatterChart>
      <c:valAx>
        <c:axId val="1146279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Gross Margin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81439"/>
        <c:crosses val="autoZero"/>
        <c:crossBetween val="midCat"/>
      </c:valAx>
      <c:valAx>
        <c:axId val="1146281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Net Sales Contribution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79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[NRM Analysis – FMCG Shampoo Category.xlsx]Promotion Graph!PivotTable10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Shinez Value Sales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Graph'!$B$3</c:f>
              <c:strCache>
                <c:ptCount val="1"/>
                <c:pt idx="0">
                  <c:v>Total</c:v>
                </c:pt>
              </c:strCache>
            </c:strRef>
          </c:tx>
          <c:spPr>
            <a:ln w="28575" cap="rnd">
              <a:solidFill>
                <a:schemeClr val="accent1"/>
              </a:solidFill>
              <a:round/>
            </a:ln>
            <a:effectLst/>
          </c:spPr>
          <c:marker>
            <c:symbol val="none"/>
          </c:marker>
          <c:cat>
            <c:multiLvlStrRef>
              <c:f>'Promotion Graph'!$A$4:$A$17</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Shinez</c:v>
                  </c:pt>
                </c:lvl>
              </c:multiLvlStrCache>
            </c:multiLvlStrRef>
          </c:cat>
          <c:val>
            <c:numRef>
              <c:f>'Promotion Graph'!$B$4:$B$17</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4745-4CB5-A9AF-D4BB88C7A617}"/>
            </c:ext>
          </c:extLst>
        </c:ser>
        <c:dLbls>
          <c:showLegendKey val="0"/>
          <c:showVal val="0"/>
          <c:showCatName val="0"/>
          <c:showSerName val="0"/>
          <c:showPercent val="0"/>
          <c:showBubbleSize val="0"/>
        </c:dLbls>
        <c:smooth val="0"/>
        <c:axId val="115909727"/>
        <c:axId val="115910687"/>
      </c:lineChart>
      <c:catAx>
        <c:axId val="1159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0687"/>
        <c:crosses val="autoZero"/>
        <c:auto val="1"/>
        <c:lblAlgn val="ctr"/>
        <c:lblOffset val="100"/>
        <c:noMultiLvlLbl val="0"/>
      </c:catAx>
      <c:valAx>
        <c:axId val="11591068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val>
            <c:numRef>
              <c:f>'Forecast 2024'!$B$2:$B$8</c:f>
              <c:numCache>
                <c:formatCode>_-[$$-409]* #,##0_ ;_-[$$-409]*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1B82-4456-9BC0-4C7A1506DE7D}"/>
            </c:ext>
          </c:extLst>
        </c:ser>
        <c:ser>
          <c:idx val="1"/>
          <c:order val="1"/>
          <c:tx>
            <c:strRef>
              <c:f>'Forecast 2024'!$C$1</c:f>
              <c:strCache>
                <c:ptCount val="1"/>
                <c:pt idx="0">
                  <c:v>Forecast</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6="http://schemas.microsoft.com/office/drawing/2014/chart" uri="{C3380CC4-5D6E-409C-BE32-E72D297353CC}">
              <c16:uniqueId val="{00000001-1B82-4456-9BC0-4C7A1506DE7D}"/>
            </c:ext>
          </c:extLst>
        </c:ser>
        <c:ser>
          <c:idx val="2"/>
          <c:order val="2"/>
          <c:tx>
            <c:strRef>
              <c:f>'Forecast 2024'!$D$1</c:f>
              <c:strCache>
                <c:ptCount val="1"/>
                <c:pt idx="0">
                  <c:v>Lower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6="http://schemas.microsoft.com/office/drawing/2014/chart" uri="{C3380CC4-5D6E-409C-BE32-E72D297353CC}">
              <c16:uniqueId val="{00000002-1B82-4456-9BC0-4C7A1506DE7D}"/>
            </c:ext>
          </c:extLst>
        </c:ser>
        <c:ser>
          <c:idx val="3"/>
          <c:order val="3"/>
          <c:tx>
            <c:strRef>
              <c:f>'Forecast 2024'!$E$1</c:f>
              <c:strCache>
                <c:ptCount val="1"/>
                <c:pt idx="0">
                  <c:v>Upper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6="http://schemas.microsoft.com/office/drawing/2014/chart" uri="{C3380CC4-5D6E-409C-BE32-E72D297353CC}">
              <c16:uniqueId val="{00000003-1B82-4456-9BC0-4C7A1506DE7D}"/>
            </c:ext>
          </c:extLst>
        </c:ser>
        <c:dLbls>
          <c:showLegendKey val="0"/>
          <c:showVal val="0"/>
          <c:showCatName val="0"/>
          <c:showSerName val="0"/>
          <c:showPercent val="0"/>
          <c:showBubbleSize val="0"/>
        </c:dLbls>
        <c:smooth val="0"/>
        <c:axId val="144191055"/>
        <c:axId val="144192495"/>
      </c:lineChart>
      <c:catAx>
        <c:axId val="14419105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2495"/>
        <c:crosses val="autoZero"/>
        <c:auto val="1"/>
        <c:lblAlgn val="ctr"/>
        <c:lblOffset val="100"/>
        <c:noMultiLvlLbl val="0"/>
      </c:catAx>
      <c:valAx>
        <c:axId val="14419249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plotArea>
      <cx:plotAreaRegion>
        <cx:series layoutId="waterfall" uniqueId="{9B5E6124-F012-400E-B4C7-1D528BDA8D93}">
          <cx:dataLabels pos="outEnd">
            <cx:visibility seriesName="0" categoryName="0" value="1"/>
          </cx:dataLabels>
          <cx:dataId val="0"/>
          <cx:layoutPr>
            <cx:subtotals>
              <cx:idx val="4"/>
            </cx:subtotals>
          </cx:layoutPr>
        </cx:series>
      </cx:plotAreaRegion>
      <cx:axis id="0">
        <cx:catScaling gapWidth="0.5"/>
        <cx:tickLabels/>
      </cx:axis>
      <cx:axis id="1">
        <cx:valScaling max="25000000"/>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7143</xdr:colOff>
      <xdr:row>12</xdr:row>
      <xdr:rowOff>4762</xdr:rowOff>
    </xdr:from>
    <xdr:to>
      <xdr:col>17</xdr:col>
      <xdr:colOff>14288</xdr:colOff>
      <xdr:row>31</xdr:row>
      <xdr:rowOff>161925</xdr:rowOff>
    </xdr:to>
    <xdr:graphicFrame macro="">
      <xdr:nvGraphicFramePr>
        <xdr:cNvPr id="2" name="Chart 1">
          <a:extLst>
            <a:ext uri="{FF2B5EF4-FFF2-40B4-BE49-F238E27FC236}">
              <a16:creationId xmlns:a16="http://schemas.microsoft.com/office/drawing/2014/main" id="{E866CE4B-E3B5-45A1-7A6F-7C4D0E443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85725</xdr:colOff>
      <xdr:row>12</xdr:row>
      <xdr:rowOff>9525</xdr:rowOff>
    </xdr:from>
    <xdr:to>
      <xdr:col>0</xdr:col>
      <xdr:colOff>1195388</xdr:colOff>
      <xdr:row>18</xdr:row>
      <xdr:rowOff>138113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53BC253-9A26-0719-89FC-A96ED8753E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5" y="2181225"/>
              <a:ext cx="1109663" cy="121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723900</xdr:colOff>
      <xdr:row>6</xdr:row>
      <xdr:rowOff>171449</xdr:rowOff>
    </xdr:from>
    <xdr:to>
      <xdr:col>18</xdr:col>
      <xdr:colOff>9525</xdr:colOff>
      <xdr:row>26</xdr:row>
      <xdr:rowOff>0</xdr:rowOff>
    </xdr:to>
    <xdr:graphicFrame macro="">
      <xdr:nvGraphicFramePr>
        <xdr:cNvPr id="3" name="Chart 2">
          <a:extLst>
            <a:ext uri="{FF2B5EF4-FFF2-40B4-BE49-F238E27FC236}">
              <a16:creationId xmlns:a16="http://schemas.microsoft.com/office/drawing/2014/main" id="{709E5D03-0CC3-8256-30DC-5EF267F26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659605</xdr:colOff>
      <xdr:row>2</xdr:row>
      <xdr:rowOff>0</xdr:rowOff>
    </xdr:from>
    <xdr:to>
      <xdr:col>9</xdr:col>
      <xdr:colOff>388142</xdr:colOff>
      <xdr:row>17</xdr:row>
      <xdr:rowOff>28575</xdr:rowOff>
    </xdr:to>
    <xdr:graphicFrame macro="">
      <xdr:nvGraphicFramePr>
        <xdr:cNvPr id="2" name="Chart 1">
          <a:extLst>
            <a:ext uri="{FF2B5EF4-FFF2-40B4-BE49-F238E27FC236}">
              <a16:creationId xmlns:a16="http://schemas.microsoft.com/office/drawing/2014/main" id="{1AD1741F-3ACF-3EC3-D2A1-6CBB59F68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4763</xdr:rowOff>
    </xdr:from>
    <xdr:to>
      <xdr:col>6</xdr:col>
      <xdr:colOff>366712</xdr:colOff>
      <xdr:row>25</xdr:row>
      <xdr:rowOff>100015</xdr:rowOff>
    </xdr:to>
    <xdr:graphicFrame macro="">
      <xdr:nvGraphicFramePr>
        <xdr:cNvPr id="2" name="Chart 1">
          <a:extLst>
            <a:ext uri="{FF2B5EF4-FFF2-40B4-BE49-F238E27FC236}">
              <a16:creationId xmlns:a16="http://schemas.microsoft.com/office/drawing/2014/main" id="{C2045567-B2A3-141A-D1A4-E4BF78AB5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171450</xdr:rowOff>
    </xdr:from>
    <xdr:to>
      <xdr:col>6</xdr:col>
      <xdr:colOff>638174</xdr:colOff>
      <xdr:row>21</xdr:row>
      <xdr:rowOff>180974</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FB22AEF-E6C2-4162-0C3E-3F3FEE090C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33400"/>
              <a:ext cx="8220074" cy="34480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Holla B" refreshedDate="46107.895479050923" createdVersion="8" refreshedVersion="8" minRefreshableVersion="3" recordCount="4432" xr:uid="{843A04F8-6B5A-4882-B9BB-A5F1679AB261}">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4">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5">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0">
      <sharedItems containsSemiMixedTypes="0" containsString="0" containsNumber="1" minValue="196" maxValue="13998930"/>
    </cacheField>
  </cacheFields>
  <extLst>
    <ext xmlns:x14="http://schemas.microsoft.com/office/spreadsheetml/2009/9/main" uri="{725AE2AE-9491-48be-B2B4-4EB974FC3084}">
      <x14:pivotCacheDefinition pivotCacheId="5262000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Holla B" refreshedDate="46107.957271643521" createdVersion="8" refreshedVersion="8" minRefreshableVersion="3" recordCount="10" xr:uid="{239EEA4E-75A6-4542-AE7F-5B8A15DE69F0}">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44">
      <sharedItems containsSemiMixedTypes="0" containsString="0" containsNumber="1" minValue="5" maxValue="10"/>
    </cacheField>
    <cacheField name="Net Price" numFmtId="44">
      <sharedItems containsSemiMixedTypes="0" containsString="0" containsNumber="1" minValue="2.8" maxValue="6"/>
    </cacheField>
    <cacheField name="COGS" numFmtId="44">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2" numFmtId="165">
      <sharedItems containsSemiMixedTypes="0" containsString="0" containsNumber="1" minValue="855699" maxValue="3813362"/>
    </cacheField>
    <cacheField name="Gross Profit per unit" numFmtId="44">
      <sharedItems containsSemiMixedTypes="0" containsString="0" containsNumber="1" minValue="1.7999999999999998" maxValue="4.3"/>
    </cacheField>
    <cacheField name="Gross Profit per product" numFmtId="165">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56" count="10">
        <n v="0.70967741935483863"/>
        <n v="0.6724137931034484"/>
        <n v="0.64285714285714279"/>
        <n v="0.65714285714285714"/>
        <n v="0.6486486486486488"/>
        <n v="0.7"/>
        <n v="0.67142857142857149"/>
        <n v="0.69411764705882362"/>
        <n v="0.70588235294117641"/>
        <n v="0.71666666666666656"/>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36702D-5AF8-4465-83CC-125CB2E143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6"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4" showAll="0"/>
    <pivotField showAll="0"/>
    <pivotField numFmtId="165" showAll="0"/>
    <pivotField showAll="0"/>
    <pivotField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29978-9474-4229-90AA-518F87986E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7"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Col" showAll="0">
      <items count="7">
        <item x="0"/>
        <item x="1"/>
        <item x="2"/>
        <item x="3"/>
        <item x="4"/>
        <item h="1" x="5"/>
        <item t="default"/>
      </items>
    </pivotField>
    <pivotField showAll="0"/>
    <pivotField showAll="0"/>
    <pivotField dataField="1" numFmtId="164" showAll="0"/>
    <pivotField showAll="0"/>
    <pivotField numFmtId="165" showAll="0"/>
    <pivotField showAll="0"/>
    <pivotField showAll="0"/>
  </pivotFields>
  <rowFields count="1">
    <field x="3"/>
  </rowFields>
  <rowItems count="3">
    <i>
      <x v="18"/>
    </i>
    <i>
      <x v="19"/>
    </i>
    <i t="grand">
      <x/>
    </i>
  </rowItems>
  <colFields count="1">
    <field x="5"/>
  </colFields>
  <colItems count="6">
    <i>
      <x/>
    </i>
    <i>
      <x v="1"/>
    </i>
    <i>
      <x v="2"/>
    </i>
    <i>
      <x v="3"/>
    </i>
    <i>
      <x v="4"/>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9B677-BA6D-40C6-B623-8471E6B8D2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4" showAll="0"/>
    <pivotField showAll="0"/>
    <pivotField numFmtId="165" showAll="0"/>
    <pivotField showAll="0"/>
    <pivotField dataField="1" showAll="0"/>
  </pivotFields>
  <rowItems count="1">
    <i/>
  </rowItems>
  <colItems count="1">
    <i/>
  </colItems>
  <pageFields count="2">
    <pageField fld="5" item="5" hier="-1"/>
    <pageField fld="6" item="2" hier="-1"/>
  </pageFields>
  <dataFields count="1">
    <dataField name="Sum of Values MAT" fld="12" baseField="0" baseItem="0" numFmtId="1"/>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731C9-A0E1-4A5C-80B3-7EF679C602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A11" firstHeaderRow="1" firstDataRow="2" firstDataCol="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items count="7">
        <item x="0"/>
        <item x="1"/>
        <item x="2"/>
        <item x="3"/>
        <item x="4"/>
        <item x="5"/>
        <item t="default"/>
      </items>
    </pivotField>
    <pivotField showAll="0"/>
    <pivotField showAll="0"/>
    <pivotField dataField="1" numFmtId="164" showAll="0"/>
    <pivotField showAll="0"/>
    <pivotField numFmtId="165" showAll="0"/>
    <pivotField showAll="0"/>
    <pivotField showAll="0"/>
  </pivotFields>
  <rowFields count="1">
    <field x="5"/>
  </rowFields>
  <rowItems count="7">
    <i>
      <x/>
    </i>
    <i>
      <x v="1"/>
    </i>
    <i>
      <x v="2"/>
    </i>
    <i>
      <x v="3"/>
    </i>
    <i>
      <x v="4"/>
    </i>
    <i>
      <x v="5"/>
    </i>
    <i t="grand">
      <x/>
    </i>
  </rowItems>
  <colFields count="1">
    <field x="3"/>
  </colFields>
  <colItems count="26">
    <i>
      <x v="19"/>
    </i>
    <i>
      <x v="21"/>
    </i>
    <i>
      <x v="5"/>
    </i>
    <i>
      <x v="18"/>
    </i>
    <i>
      <x v="2"/>
    </i>
    <i>
      <x v="11"/>
    </i>
    <i>
      <x v="13"/>
    </i>
    <i>
      <x v="10"/>
    </i>
    <i>
      <x v="9"/>
    </i>
    <i>
      <x v="7"/>
    </i>
    <i>
      <x v="8"/>
    </i>
    <i>
      <x v="16"/>
    </i>
    <i>
      <x v="14"/>
    </i>
    <i>
      <x v="20"/>
    </i>
    <i>
      <x v="12"/>
    </i>
    <i>
      <x v="6"/>
    </i>
    <i>
      <x/>
    </i>
    <i>
      <x v="23"/>
    </i>
    <i>
      <x v="24"/>
    </i>
    <i>
      <x v="17"/>
    </i>
    <i>
      <x v="3"/>
    </i>
    <i>
      <x v="15"/>
    </i>
    <i>
      <x v="1"/>
    </i>
    <i>
      <x v="4"/>
    </i>
    <i>
      <x v="22"/>
    </i>
    <i t="grand">
      <x/>
    </i>
  </colItems>
  <dataFields count="1">
    <dataField name="Sum of Values Month" fld="8" showDataAs="percentOfRow" baseField="0" baseItem="0" numFmtId="9"/>
  </dataFields>
  <formats count="1">
    <format dxfId="47">
      <pivotArea outline="0" collapsedLevelsAreSubtotals="1" fieldPosition="0"/>
    </format>
  </formats>
  <chartFormats count="25">
    <chartFormat chart="2" format="0" series="1">
      <pivotArea type="data" outline="0" fieldPosition="0">
        <references count="2">
          <reference field="4294967294" count="1" selected="0">
            <x v="0"/>
          </reference>
          <reference field="3" count="1" selected="0">
            <x v="19"/>
          </reference>
        </references>
      </pivotArea>
    </chartFormat>
    <chartFormat chart="2" format="1" series="1">
      <pivotArea type="data" outline="0" fieldPosition="0">
        <references count="2">
          <reference field="4294967294" count="1" selected="0">
            <x v="0"/>
          </reference>
          <reference field="3" count="1" selected="0">
            <x v="21"/>
          </reference>
        </references>
      </pivotArea>
    </chartFormat>
    <chartFormat chart="2" format="2" series="1">
      <pivotArea type="data" outline="0" fieldPosition="0">
        <references count="2">
          <reference field="4294967294" count="1" selected="0">
            <x v="0"/>
          </reference>
          <reference field="3" count="1" selected="0">
            <x v="5"/>
          </reference>
        </references>
      </pivotArea>
    </chartFormat>
    <chartFormat chart="2" format="3" series="1">
      <pivotArea type="data" outline="0" fieldPosition="0">
        <references count="2">
          <reference field="4294967294" count="1" selected="0">
            <x v="0"/>
          </reference>
          <reference field="3" count="1" selected="0">
            <x v="18"/>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11"/>
          </reference>
        </references>
      </pivotArea>
    </chartFormat>
    <chartFormat chart="2" format="6" series="1">
      <pivotArea type="data" outline="0" fieldPosition="0">
        <references count="2">
          <reference field="4294967294" count="1" selected="0">
            <x v="0"/>
          </reference>
          <reference field="3" count="1" selected="0">
            <x v="13"/>
          </reference>
        </references>
      </pivotArea>
    </chartFormat>
    <chartFormat chart="2" format="7" series="1">
      <pivotArea type="data" outline="0" fieldPosition="0">
        <references count="2">
          <reference field="4294967294" count="1" selected="0">
            <x v="0"/>
          </reference>
          <reference field="3" count="1" selected="0">
            <x v="10"/>
          </reference>
        </references>
      </pivotArea>
    </chartFormat>
    <chartFormat chart="2" format="8" series="1">
      <pivotArea type="data" outline="0" fieldPosition="0">
        <references count="2">
          <reference field="4294967294" count="1" selected="0">
            <x v="0"/>
          </reference>
          <reference field="3" count="1" selected="0">
            <x v="9"/>
          </reference>
        </references>
      </pivotArea>
    </chartFormat>
    <chartFormat chart="2" format="9" series="1">
      <pivotArea type="data" outline="0" fieldPosition="0">
        <references count="2">
          <reference field="4294967294" count="1" selected="0">
            <x v="0"/>
          </reference>
          <reference field="3" count="1" selected="0">
            <x v="7"/>
          </reference>
        </references>
      </pivotArea>
    </chartFormat>
    <chartFormat chart="2" format="10" series="1">
      <pivotArea type="data" outline="0" fieldPosition="0">
        <references count="2">
          <reference field="4294967294" count="1" selected="0">
            <x v="0"/>
          </reference>
          <reference field="3" count="1" selected="0">
            <x v="8"/>
          </reference>
        </references>
      </pivotArea>
    </chartFormat>
    <chartFormat chart="2" format="11" series="1">
      <pivotArea type="data" outline="0" fieldPosition="0">
        <references count="2">
          <reference field="4294967294" count="1" selected="0">
            <x v="0"/>
          </reference>
          <reference field="3" count="1" selected="0">
            <x v="16"/>
          </reference>
        </references>
      </pivotArea>
    </chartFormat>
    <chartFormat chart="2" format="12" series="1">
      <pivotArea type="data" outline="0" fieldPosition="0">
        <references count="2">
          <reference field="4294967294" count="1" selected="0">
            <x v="0"/>
          </reference>
          <reference field="3" count="1" selected="0">
            <x v="14"/>
          </reference>
        </references>
      </pivotArea>
    </chartFormat>
    <chartFormat chart="2" format="13" series="1">
      <pivotArea type="data" outline="0" fieldPosition="0">
        <references count="2">
          <reference field="4294967294" count="1" selected="0">
            <x v="0"/>
          </reference>
          <reference field="3" count="1" selected="0">
            <x v="20"/>
          </reference>
        </references>
      </pivotArea>
    </chartFormat>
    <chartFormat chart="2" format="14" series="1">
      <pivotArea type="data" outline="0" fieldPosition="0">
        <references count="2">
          <reference field="4294967294" count="1" selected="0">
            <x v="0"/>
          </reference>
          <reference field="3" count="1" selected="0">
            <x v="12"/>
          </reference>
        </references>
      </pivotArea>
    </chartFormat>
    <chartFormat chart="2" format="15" series="1">
      <pivotArea type="data" outline="0" fieldPosition="0">
        <references count="2">
          <reference field="4294967294" count="1" selected="0">
            <x v="0"/>
          </reference>
          <reference field="3" count="1" selected="0">
            <x v="6"/>
          </reference>
        </references>
      </pivotArea>
    </chartFormat>
    <chartFormat chart="2" format="16" series="1">
      <pivotArea type="data" outline="0" fieldPosition="0">
        <references count="2">
          <reference field="4294967294" count="1" selected="0">
            <x v="0"/>
          </reference>
          <reference field="3" count="1" selected="0">
            <x v="0"/>
          </reference>
        </references>
      </pivotArea>
    </chartFormat>
    <chartFormat chart="2" format="17" series="1">
      <pivotArea type="data" outline="0" fieldPosition="0">
        <references count="2">
          <reference field="4294967294" count="1" selected="0">
            <x v="0"/>
          </reference>
          <reference field="3" count="1" selected="0">
            <x v="23"/>
          </reference>
        </references>
      </pivotArea>
    </chartFormat>
    <chartFormat chart="2" format="18" series="1">
      <pivotArea type="data" outline="0" fieldPosition="0">
        <references count="2">
          <reference field="4294967294" count="1" selected="0">
            <x v="0"/>
          </reference>
          <reference field="3" count="1" selected="0">
            <x v="24"/>
          </reference>
        </references>
      </pivotArea>
    </chartFormat>
    <chartFormat chart="2" format="19" series="1">
      <pivotArea type="data" outline="0" fieldPosition="0">
        <references count="2">
          <reference field="4294967294" count="1" selected="0">
            <x v="0"/>
          </reference>
          <reference field="3" count="1" selected="0">
            <x v="17"/>
          </reference>
        </references>
      </pivotArea>
    </chartFormat>
    <chartFormat chart="2" format="20" series="1">
      <pivotArea type="data" outline="0" fieldPosition="0">
        <references count="2">
          <reference field="4294967294" count="1" selected="0">
            <x v="0"/>
          </reference>
          <reference field="3" count="1" selected="0">
            <x v="3"/>
          </reference>
        </references>
      </pivotArea>
    </chartFormat>
    <chartFormat chart="2" format="21" series="1">
      <pivotArea type="data" outline="0" fieldPosition="0">
        <references count="2">
          <reference field="4294967294" count="1" selected="0">
            <x v="0"/>
          </reference>
          <reference field="3" count="1" selected="0">
            <x v="15"/>
          </reference>
        </references>
      </pivotArea>
    </chartFormat>
    <chartFormat chart="2" format="22" series="1">
      <pivotArea type="data" outline="0" fieldPosition="0">
        <references count="2">
          <reference field="4294967294" count="1" selected="0">
            <x v="0"/>
          </reference>
          <reference field="3" count="1" selected="0">
            <x v="1"/>
          </reference>
        </references>
      </pivotArea>
    </chartFormat>
    <chartFormat chart="2" format="23" series="1">
      <pivotArea type="data" outline="0" fieldPosition="0">
        <references count="2">
          <reference field="4294967294" count="1" selected="0">
            <x v="0"/>
          </reference>
          <reference field="3" count="1" selected="0">
            <x v="4"/>
          </reference>
        </references>
      </pivotArea>
    </chartFormat>
    <chartFormat chart="2"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E3B0D4-E122-47E8-849B-DA7F9FF1E01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44" showAll="0"/>
    <pivotField numFmtId="44" showAll="0"/>
    <pivotField numFmtId="44" showAll="0"/>
    <pivotField numFmtId="167" showAll="0"/>
    <pivotField numFmtId="165" showAll="0"/>
    <pivotField numFmtId="44" showAll="0"/>
    <pivotField numFmtId="165"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4FF746-D92F-454E-AB2F-5ABD8BDF280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B15"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4" showAll="0"/>
    <pivotField showAll="0"/>
    <pivotField numFmtId="165" showAll="0"/>
    <pivotField dataField="1" showAll="0"/>
    <pivotField showAll="0"/>
  </pivotFields>
  <rowFields count="1">
    <field x="1"/>
  </rowFields>
  <rowItems count="1">
    <i>
      <x v="3"/>
    </i>
  </rowItems>
  <colItems count="1">
    <i/>
  </colItems>
  <pageFields count="2">
    <pageField fld="5" item="5" hier="-1"/>
    <pageField fld="6" item="2" hier="-1"/>
  </pageFields>
  <dataFields count="1">
    <dataField name="Sum of Units MAT" fld="11" baseField="0" baseItem="0" numFmtId="167"/>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AE922-9B5D-4389-B259-8F47F1FAE03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4" showAll="0"/>
    <pivotField showAll="0"/>
    <pivotField numFmtId="165" showAll="0"/>
    <pivotField showAll="0"/>
    <pivotField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E240AE-800D-4B88-B2CE-DF3FB24CE2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7" firstHeaderRow="1" firstDataRow="1" firstDataCol="1" rowPageCount="1" colPageCount="1"/>
  <pivotFields count="13">
    <pivotField showAll="0"/>
    <pivotField showAll="0"/>
    <pivotField showAll="0"/>
    <pivotField axis="axisRow"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dataField="1" numFmtId="164" showAll="0"/>
    <pivotField showAll="0"/>
    <pivotField numFmtId="165" showAll="0"/>
    <pivotField showAll="0"/>
    <pivotField showAll="0"/>
  </pivotFields>
  <rowFields count="2">
    <field x="3"/>
    <field x="6"/>
  </rowFields>
  <rowItems count="14">
    <i>
      <x v="18"/>
    </i>
    <i r="1">
      <x/>
    </i>
    <i r="1">
      <x v="1"/>
    </i>
    <i r="1">
      <x v="2"/>
    </i>
    <i r="1">
      <x v="3"/>
    </i>
    <i r="1">
      <x v="4"/>
    </i>
    <i r="1">
      <x v="5"/>
    </i>
    <i r="1">
      <x v="6"/>
    </i>
    <i r="1">
      <x v="7"/>
    </i>
    <i r="1">
      <x v="8"/>
    </i>
    <i r="1">
      <x v="9"/>
    </i>
    <i r="1">
      <x v="10"/>
    </i>
    <i r="1">
      <x v="11"/>
    </i>
    <i t="grand">
      <x/>
    </i>
  </rowItems>
  <colItems count="1">
    <i/>
  </colItems>
  <pageFields count="1">
    <pageField fld="5" item="4" hier="-1"/>
  </pageFields>
  <dataFields count="1">
    <dataField name="Sum of Values Month" fld="8"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8E1194-E1AD-4945-AEB9-C42029901AB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showAll="0"/>
    <pivotField showAll="0"/>
    <pivotField axis="axisRow" showAll="0">
      <items count="7">
        <item x="0"/>
        <item x="1"/>
        <item x="2"/>
        <item x="3"/>
        <item x="4"/>
        <item h="1" x="5"/>
        <item t="default"/>
      </items>
    </pivotField>
    <pivotField showAll="0"/>
    <pivotField showAll="0"/>
    <pivotField dataField="1" numFmtId="164" showAll="0"/>
    <pivotField showAll="0"/>
    <pivotField numFmtId="165" showAll="0"/>
    <pivotField showAll="0"/>
    <pivotField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3289BC-BBA8-4AD5-A8E0-5341A56C51DC}" autoFormatId="16" applyNumberFormats="0" applyBorderFormats="0" applyFontFormats="0" applyPatternFormats="0" applyAlignmentFormats="0" applyWidthHeightFormats="0">
  <queryTableRefresh nextId="15"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4" dataBound="0" tableColumnId="14"/>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D18A496D-9817-4E21-A26A-797893A89BA0}"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68F7445-E017-417C-9BF1-56F2F0A3BB2A}" autoFormatId="16" applyNumberFormats="0" applyBorderFormats="0" applyFontFormats="0" applyPatternFormats="0" applyAlignmentFormats="0" applyWidthHeightFormats="0">
  <queryTableRefresh nextId="16"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5" dataBound="0" tableColumnId="15"/>
    </queryTableFields>
    <queryTableDeletedFields count="1">
      <deletedField name="Column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2FD2404-C273-4DF4-921A-2D48AA557DB1}"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C60B3E-0618-4CD9-AE24-CD57AF26CE8B}" sourceName="Region">
  <pivotTables>
    <pivotTable tabId="7" name="PivotTable5"/>
  </pivotTables>
  <data>
    <tabular pivotCacheId="526200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2D6B6B3-320E-4D4F-A9CE-F3A8EC7231D1}" cache="Slicer_Region" caption="Regio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58"/>
    <tableColumn id="2" xr3:uid="{E62B3F1F-9A15-44B4-B1DD-CAF27CF3C747}" name="Subcategory" dataDxfId="57"/>
    <tableColumn id="3" xr3:uid="{FA4BBA42-4CD5-4FEC-99C8-F3DEA363596F}" name="Supplier" dataDxfId="56"/>
    <tableColumn id="4" xr3:uid="{363950AD-92F1-4B62-BAD5-6C6ED9D314C8}" name="Brand" dataDxfId="55"/>
    <tableColumn id="5" xr3:uid="{278D3098-9E4F-422C-8E1A-9941BBC3EF43}" name="Region" dataDxfId="54"/>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53"/>
    <tableColumn id="10" xr3:uid="{80141FC4-1B05-4424-84E2-8217AC125029}" name="Units YTD" dataDxfId="52">
      <calculatedColumnFormula>SUMIFS(H:H,D:D,dataset_shampoo[[#This Row],[Brand]],E:E,dataset_shampoo[[#This Row],[Region]],F:F,dataset_shampoo[[#This Row],[Year]],G:G,"&lt;="&amp;dataset_shampoo[[#This Row],[Month]])</calculatedColumnFormula>
    </tableColumn>
    <tableColumn id="11" xr3:uid="{0CECA15F-4CFD-48FF-8250-FFBB0A8B96F7}" name="Values YTD" dataDxfId="51" dataCellStyle="Currency">
      <calculatedColumnFormula>SUMIFS(I:I,D:D,dataset_shampoo[[#This Row],[Brand]],E:E,dataset_shampoo[[#This Row],[Region]],F:F,dataset_shampoo[[#This Row],[Year]],G:G,"&lt;="&amp;dataset_shampoo[[#This Row],[Month]])</calculatedColumnFormula>
    </tableColumn>
    <tableColumn id="12" xr3:uid="{D53AA766-B4F4-460F-AF68-30E233D42BFA}" name="Units MAT" dataDxfId="50">
      <calculatedColumnFormula>dataset_shampoo[[#This Row],[Units YTD]]+SUMIFS(H:H,D:D,dataset_shampoo[[#This Row],[Brand]],E:E,dataset_shampoo[[#This Row],[Region]],F:F,dataset_shampoo[[#This Row],[Year]]-1,G:G,"&gt;"&amp;dataset_shampoo[[#This Row],[Month]])</calculatedColumnFormula>
    </tableColumn>
    <tableColumn id="13" xr3:uid="{9E3AEC26-225C-4F2C-B390-20685D00EC2E}" name="Values MAT" dataDxfId="49">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40E4F8-95CD-4524-A81E-B602E618D9BD}" name="internal_sales_data" displayName="internal_sales_data" ref="A1:M12" tableType="queryTable" totalsRowCount="1">
  <autoFilter ref="A1:M11" xr:uid="{E740E4F8-95CD-4524-A81E-B602E618D9BD}"/>
  <tableColumns count="13">
    <tableColumn id="1" xr3:uid="{5FA936EF-8EF9-45B3-AB76-FE3DCD3DBBD6}" uniqueName="1" name="Brand" totalsRowLabel="Total" queryTableFieldId="1" dataDxfId="46"/>
    <tableColumn id="2" xr3:uid="{BFAFD764-93C9-4691-9506-7A235B4572B1}" uniqueName="2" name="Product" queryTableFieldId="2" dataDxfId="45"/>
    <tableColumn id="3" xr3:uid="{86449B1F-8647-45ED-9276-E92CA248F320}" uniqueName="3" name="Pack Size (ml)" queryTableFieldId="3"/>
    <tableColumn id="4" xr3:uid="{CEF73AB5-2C0B-44B9-8E3D-0D306C0F1449}" uniqueName="4" name="ProductID" queryTableFieldId="4" dataDxfId="44"/>
    <tableColumn id="5" xr3:uid="{9334C8E6-E914-4616-A31E-CB975B237F04}" uniqueName="5" name="Retail Price" queryTableFieldId="5" totalsRowDxfId="43" dataCellStyle="Currency"/>
    <tableColumn id="6" xr3:uid="{87113552-E378-431F-90B4-9829826DAFD3}" uniqueName="6" name="Net Price" queryTableFieldId="6" totalsRowDxfId="42" dataCellStyle="Currency"/>
    <tableColumn id="7" xr3:uid="{42BD22A2-5D49-492B-A6C2-49BEF73E6C30}" uniqueName="7" name="COGS" queryTableFieldId="7" totalsRowDxfId="41" dataCellStyle="Currency"/>
    <tableColumn id="8" xr3:uid="{261E8DA9-690B-4A31-8FD9-8F3D8A3B4A7C}" uniqueName="8" name="Volume 2022" totalsRowFunction="sum" queryTableFieldId="8" dataDxfId="40" totalsRowDxfId="39" dataCellStyle="Comma"/>
    <tableColumn id="10" xr3:uid="{F71C3224-A2D6-486F-8B9D-DF08897F8DE5}" uniqueName="10" name="Net Sales 2022" totalsRowFunction="sum" queryTableFieldId="10" dataDxfId="38" totalsRowDxfId="37" dataCellStyle="Currency" totalsRowCellStyle="Currency">
      <calculatedColumnFormula>internal_sales_data[[#This Row],[Net Price]]*internal_sales_data[[#This Row],[Volume 2022]]</calculatedColumnFormula>
    </tableColumn>
    <tableColumn id="11" xr3:uid="{35D91361-8BFB-4613-8180-51C8F34C97B3}" uniqueName="11" name="Gross Profit per unit" queryTableFieldId="11" totalsRowDxfId="36" dataCellStyle="Currency">
      <calculatedColumnFormula>internal_sales_data[[#This Row],[Net Price]]-internal_sales_data[[#This Row],[COGS]]</calculatedColumnFormula>
    </tableColumn>
    <tableColumn id="12" xr3:uid="{BE9B03C2-DF21-4F85-BB83-A592A835B673}" uniqueName="12" name="Gross Profit per product" totalsRowFunction="sum" queryTableFieldId="12" dataDxfId="35" totalsRowDxfId="34" dataCellStyle="Currency" totalsRowCellStyle="Currency">
      <calculatedColumnFormula>internal_sales_data[[#This Row],[Gross Profit per unit]]*internal_sales_data[[#This Row],[Volume 2022]]</calculatedColumnFormula>
    </tableColumn>
    <tableColumn id="13" xr3:uid="{A3FD8F59-A936-4692-B743-C61168574B5C}" uniqueName="13" name="Gross Margin" totalsRowFunction="custom" queryTableFieldId="13" totalsRowDxfId="33" dataCellStyle="Percent" totalsRowCellStyle="Percent">
      <calculatedColumnFormula>internal_sales_data[[#This Row],[Gross Profit per product]]/internal_sales_data[[#This Row],[Net Sales 2022]]</calculatedColumnFormula>
      <totalsRowFormula>internal_sales_data[[#Totals],[Gross Profit per product]]/internal_sales_data[[#Totals],[Net Sales 2022]]</totalsRowFormula>
    </tableColumn>
    <tableColumn id="14" xr3:uid="{1D5D44DD-4671-4D4F-B19B-892DA497D0C6}" uniqueName="14" name="Net Sales Contribution" queryTableFieldId="14" dataCellStyle="Percent">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E8F75F-70E4-4841-B6CF-BBF0E72E74FF}" name="new_product_launch" displayName="new_product_launch" ref="A1:I3" tableType="queryTable" totalsRowShown="0">
  <autoFilter ref="A1:I3" xr:uid="{ACE8F75F-70E4-4841-B6CF-BBF0E72E74FF}"/>
  <tableColumns count="9">
    <tableColumn id="1" xr3:uid="{71C5D3E0-1F8C-41C8-A013-364F5C747714}" uniqueName="1" name="Product" queryTableFieldId="1" dataDxfId="31"/>
    <tableColumn id="2" xr3:uid="{AD6819B4-D6DE-40E2-B76C-45DD2D437FEA}" uniqueName="2" name="Estimated Unit Market Share" queryTableFieldId="2" dataCellStyle="Percent"/>
    <tableColumn id="3" xr3:uid="{6151BEF3-F2C5-4D1E-991F-A93222388F62}" uniqueName="3" name="Estimated units sold 2024" queryTableFieldId="3" dataDxfId="30" dataCellStyle="Comma"/>
    <tableColumn id="4" xr3:uid="{91078A8B-851A-40ED-BFC2-8410412FDC4B}" uniqueName="4" name="Net Price" queryTableFieldId="4" dataCellStyle="Currency"/>
    <tableColumn id="5" xr3:uid="{0FFF258D-9342-4B03-A80E-5CB83B3F4345}" uniqueName="5" name="Net Sales" queryTableFieldId="5" dataDxfId="29" dataCellStyle="Currency"/>
    <tableColumn id="6" xr3:uid="{12D9AF8D-1E2D-4E6B-AA40-DE47B543E53F}" uniqueName="6" name="COGS" queryTableFieldId="6" dataCellStyle="Currency"/>
    <tableColumn id="7" xr3:uid="{46A6AF7E-387A-42E8-9F82-8161E753E2BE}" uniqueName="7" name="Gross Profit per unit" queryTableFieldId="7" dataDxfId="28"/>
    <tableColumn id="8" xr3:uid="{DC9DEED8-0B76-4C53-B8CC-A66C39C20B46}" uniqueName="8" name="Gross Profit per product" queryTableFieldId="8" dataDxfId="27" dataCellStyle="Currency"/>
    <tableColumn id="9" xr3:uid="{074D3194-1E44-4327-9C1E-414F6605E62A}" uniqueName="9" name="Gross Margin" queryTableFieldId="9" dataCellStyle="Percen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40956B-980E-4A82-9D81-404CD789FA31}" name="internal_sales_data5" displayName="internal_sales_data5" ref="A1:M12" tableType="queryTable">
  <autoFilter ref="A1:M12" xr:uid="{1C40956B-980E-4A82-9D81-404CD789FA31}"/>
  <tableColumns count="13">
    <tableColumn id="1" xr3:uid="{84BAC691-6421-40D8-AE07-77A0F491A305}" uniqueName="1" name="Brand" totalsRowLabel="Total" queryTableFieldId="1" dataDxfId="26"/>
    <tableColumn id="2" xr3:uid="{BE99E863-FFCC-4243-84DF-FA282E219D4D}" uniqueName="2" name="Product" queryTableFieldId="2" dataDxfId="25"/>
    <tableColumn id="3" xr3:uid="{12046D9D-B4BD-4D2A-9BB0-4B9CC9ED90BB}" uniqueName="3" name="Pack Size (ml)" queryTableFieldId="3"/>
    <tableColumn id="4" xr3:uid="{18350404-B886-489E-A858-CCA7FAE5E14D}" uniqueName="4" name="ProductID" queryTableFieldId="4" dataDxfId="24"/>
    <tableColumn id="5" xr3:uid="{EA3E8A2D-1689-444B-96CB-8FE383E0F89A}" uniqueName="5" name="Retail Price" queryTableFieldId="5" totalsRowDxfId="23" dataCellStyle="Currency"/>
    <tableColumn id="6" xr3:uid="{04E8E18D-28A0-44E9-AA30-EB9BE35167A8}" uniqueName="6" name="Net Price" queryTableFieldId="6" totalsRowDxfId="22" dataCellStyle="Currency"/>
    <tableColumn id="7" xr3:uid="{54A19DAF-DD97-4229-A6D7-AB8AA77000B0}" uniqueName="7" name="COGS" queryTableFieldId="7" totalsRowDxfId="21" dataCellStyle="Currency"/>
    <tableColumn id="8" xr3:uid="{830C42A4-D2F2-4F33-AA52-D3DB12A153F4}" uniqueName="8" name="Volume 2022" totalsRowFunction="sum" queryTableFieldId="8" dataDxfId="20" totalsRowDxfId="19" dataCellStyle="Comma"/>
    <tableColumn id="10" xr3:uid="{09A75B43-6FED-427C-B9F2-F17A8A070500}" uniqueName="10" name="Net Sales 2022" totalsRowFunction="sum" queryTableFieldId="10" dataDxfId="18" totalsRowDxfId="17" dataCellStyle="Currency" totalsRowCellStyle="Currency">
      <calculatedColumnFormula>internal_sales_data5[[#This Row],[Net Price]]*internal_sales_data5[[#This Row],[Volume 2022]]</calculatedColumnFormula>
    </tableColumn>
    <tableColumn id="11" xr3:uid="{13F56CA4-CFC3-4F73-8BC6-601A2D809698}" uniqueName="11" name="Gross Profit per unit" queryTableFieldId="11" totalsRowDxfId="16" dataCellStyle="Currency">
      <calculatedColumnFormula>internal_sales_data5[[#This Row],[Net Price]]-internal_sales_data5[[#This Row],[COGS]]</calculatedColumnFormula>
    </tableColumn>
    <tableColumn id="12" xr3:uid="{FFFE9B68-FC7E-4AB7-9580-46B521B89AC6}" uniqueName="12" name="Gross Profit per product" totalsRowFunction="sum" queryTableFieldId="12" dataDxfId="15" totalsRowDxfId="14" dataCellStyle="Currency" totalsRowCellStyle="Currency">
      <calculatedColumnFormula>internal_sales_data5[[#This Row],[Gross Profit per unit]]*internal_sales_data5[[#This Row],[Volume 2022]]</calculatedColumnFormula>
    </tableColumn>
    <tableColumn id="13" xr3:uid="{88F565EE-0F77-4EF7-9DBA-538AAECF9EB6}" uniqueName="13" name="Gross Margin" totalsRowFunction="custom" queryTableFieldId="13" totalsRowDxfId="13" dataCellStyle="Percent" totalsRowCellStyle="Percent">
      <calculatedColumnFormula>internal_sales_data5[[#This Row],[Gross Profit per product]]/internal_sales_data5[[#This Row],[Net Sales 2022]]</calculatedColumnFormula>
      <totalsRowFormula>internal_sales_data5[[#Totals],[Gross Profit per product]]/internal_sales_data5[[#Totals],[Net Sales 2022]]</totalsRowFormula>
    </tableColumn>
    <tableColumn id="15" xr3:uid="{E95128CA-77A5-424F-9E0C-FC67D42B189A}" uniqueName="15" name="Price per ml" queryTableFieldId="15" dataDxfId="12" dataCellStyle="Currency">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FC7EC8-9268-4C3A-B132-32297097C1EF}" name="promotion_analysis" displayName="promotion_analysis" ref="A1:J4" tableType="queryTable" totalsRowShown="0">
  <autoFilter ref="A1:J4" xr:uid="{C5FC7EC8-9268-4C3A-B132-32297097C1EF}"/>
  <tableColumns count="10">
    <tableColumn id="1" xr3:uid="{C171AAC3-F3D2-406C-9517-DEACC56C7D5F}" uniqueName="1" name="Promotion " queryTableFieldId="1"/>
    <tableColumn id="2" xr3:uid="{D615BBB5-B385-47D2-9E69-AB4C6E6B17C0}" uniqueName="2" name="Mechanism" queryTableFieldId="2" dataDxfId="11"/>
    <tableColumn id="3" xr3:uid="{503A06FC-3DBE-4F59-90D8-0D04B764FBAA}" uniqueName="3" name="Brand" queryTableFieldId="3" dataDxfId="10"/>
    <tableColumn id="4" xr3:uid="{0EBCF7AA-3CD0-4D17-92E0-5957FB7BAF31}" uniqueName="4" name="Year" queryTableFieldId="4"/>
    <tableColumn id="5" xr3:uid="{AC4D3333-09DD-447A-8BF9-D9D90E5405E4}" uniqueName="5" name="Month" queryTableFieldId="5"/>
    <tableColumn id="6" xr3:uid="{4A2E9C75-E396-4E5F-83EC-0313FBAC1D58}" uniqueName="6" name="Value sales" queryTableFieldId="6" dataDxfId="9" dataCellStyle="Currency"/>
    <tableColumn id="7" xr3:uid="{09CD9880-4ADF-4C63-9834-CA657CD0706B}" uniqueName="7" name="Baseline sales " queryTableFieldId="7" dataDxfId="8" dataCellStyle="Currency"/>
    <tableColumn id="8" xr3:uid="{D773240D-B7CB-4DF9-B205-F71014143449}" uniqueName="8" name="Uplift" queryTableFieldId="8" dataDxfId="7" dataCellStyle="Currency"/>
    <tableColumn id="9" xr3:uid="{6EDDFDFC-2F39-4A76-9AF5-9540AB6AA0E9}" uniqueName="9" name="Costs" queryTableFieldId="9" dataDxfId="6" dataCellStyle="Currency"/>
    <tableColumn id="10" xr3:uid="{6A205F1E-9C26-4984-9304-85A64F112D9A}" uniqueName="10" name="ROI" queryTableFieldId="10"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8CC334-0D80-487D-81E3-43E7C94E99EE}" name="Table6" displayName="Table6" ref="A1:G8" totalsRowShown="0">
  <autoFilter ref="A1:G8" xr:uid="{D58CC334-0D80-487D-81E3-43E7C94E99EE}"/>
  <tableColumns count="7">
    <tableColumn id="1" xr3:uid="{57762111-7D39-4168-AC53-399A7E3D772C}" name="Timeline"/>
    <tableColumn id="2" xr3:uid="{93D5BF0C-7136-4956-A51E-0ED9CEBD22A5}" name="Market values" dataDxfId="5"/>
    <tableColumn id="3" xr3:uid="{599EF1C9-51F5-48A2-A4B9-5EA370DF743B}" name="Forecast" dataDxfId="4"/>
    <tableColumn id="4" xr3:uid="{D2AF0688-9734-42BE-ADA0-C5615FEC731B}" name="Lower Confidence Bound" dataDxfId="3"/>
    <tableColumn id="5" xr3:uid="{408234BD-6190-42D1-BACE-97928F1F111D}" name="Upper Confidence Bound" dataDxfId="2"/>
    <tableColumn id="6" xr3:uid="{3B76FEAE-F4EE-4ED7-B2FB-43E26680CE3A}" name="Net Sales" dataDxfId="1"/>
    <tableColumn id="7" xr3:uid="{3D7F0E52-A8E4-4F9C-8B93-8E7BA4A0D275}" name="Ratio" dataDxfId="0" dataCellStyle="Currency">
      <calculatedColumnFormula>Table6[[#This Row],[Net Sales]]/Table6[[#This Row],[Market values]]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topLeftCell="A2" workbookViewId="0">
      <selection activeCell="F11" sqref="F11"/>
    </sheetView>
  </sheetViews>
  <sheetFormatPr defaultRowHeight="14.25" x14ac:dyDescent="0.45"/>
  <cols>
    <col min="1" max="1" width="17.86328125" bestFit="1" customWidth="1"/>
    <col min="2" max="2" width="14.1328125" bestFit="1" customWidth="1"/>
    <col min="3" max="3" width="21.3984375" bestFit="1" customWidth="1"/>
    <col min="4" max="4" width="15.3984375" bestFit="1" customWidth="1"/>
    <col min="5" max="5" width="9.3984375" bestFit="1" customWidth="1"/>
    <col min="6" max="6" width="7.265625" bestFit="1" customWidth="1"/>
    <col min="7" max="7" width="9.265625" bestFit="1" customWidth="1"/>
    <col min="8" max="8" width="14.86328125" bestFit="1" customWidth="1"/>
    <col min="9" max="9" width="15.86328125" style="1" bestFit="1" customWidth="1"/>
    <col min="11" max="11" width="14.3984375" style="7" bestFit="1" customWidth="1"/>
    <col min="13" max="13" width="12.59765625" bestFit="1" customWidth="1"/>
  </cols>
  <sheetData>
    <row r="1" spans="1:13" x14ac:dyDescent="0.45">
      <c r="A1" t="s">
        <v>61</v>
      </c>
      <c r="B1" t="s">
        <v>0</v>
      </c>
      <c r="C1" t="s">
        <v>1</v>
      </c>
      <c r="D1" t="s">
        <v>2</v>
      </c>
      <c r="E1" t="s">
        <v>3</v>
      </c>
      <c r="F1" t="s">
        <v>4</v>
      </c>
      <c r="G1" t="s">
        <v>5</v>
      </c>
      <c r="H1" t="s">
        <v>60</v>
      </c>
      <c r="I1" s="1" t="s">
        <v>6</v>
      </c>
      <c r="J1" t="s">
        <v>64</v>
      </c>
      <c r="K1" s="7" t="s">
        <v>65</v>
      </c>
      <c r="L1" t="s">
        <v>66</v>
      </c>
      <c r="M1" t="s">
        <v>67</v>
      </c>
    </row>
    <row r="2" spans="1:13" x14ac:dyDescent="0.45">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7">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8">
        <f>dataset_shampoo[[#This Row],[Values YTD]]+SUMIFS(I:I,D:D,dataset_shampoo[[#This Row],[Brand]],E:E,dataset_shampoo[[#This Row],[Region]],F:F,dataset_shampoo[[#This Row],[Year]]-1,G:G,"&gt;"&amp;dataset_shampoo[[#This Row],[Month]])</f>
        <v>62800</v>
      </c>
    </row>
    <row r="3" spans="1:13" x14ac:dyDescent="0.45">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7">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x14ac:dyDescent="0.45">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7">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x14ac:dyDescent="0.45">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7">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x14ac:dyDescent="0.45">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7">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x14ac:dyDescent="0.45">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7">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x14ac:dyDescent="0.45">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7">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x14ac:dyDescent="0.45">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7">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x14ac:dyDescent="0.45">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7">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x14ac:dyDescent="0.45">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7">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x14ac:dyDescent="0.45">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7">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x14ac:dyDescent="0.45">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7">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x14ac:dyDescent="0.45">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7">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x14ac:dyDescent="0.45">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7">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x14ac:dyDescent="0.45">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7">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x14ac:dyDescent="0.45">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7">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x14ac:dyDescent="0.45">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7">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x14ac:dyDescent="0.45">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7">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x14ac:dyDescent="0.45">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7">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x14ac:dyDescent="0.45">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7">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x14ac:dyDescent="0.45">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7">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x14ac:dyDescent="0.45">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7">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x14ac:dyDescent="0.45">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7">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x14ac:dyDescent="0.45">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7">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x14ac:dyDescent="0.45">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7">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x14ac:dyDescent="0.45">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7">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x14ac:dyDescent="0.45">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7">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x14ac:dyDescent="0.45">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7">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x14ac:dyDescent="0.45">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7">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x14ac:dyDescent="0.45">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7">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x14ac:dyDescent="0.45">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7">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x14ac:dyDescent="0.45">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7">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x14ac:dyDescent="0.45">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7">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x14ac:dyDescent="0.45">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7">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x14ac:dyDescent="0.45">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7">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x14ac:dyDescent="0.45">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7">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x14ac:dyDescent="0.45">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7">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x14ac:dyDescent="0.45">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7">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x14ac:dyDescent="0.45">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7">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x14ac:dyDescent="0.45">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7">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x14ac:dyDescent="0.45">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7">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x14ac:dyDescent="0.45">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7">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x14ac:dyDescent="0.45">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7">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x14ac:dyDescent="0.45">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7">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x14ac:dyDescent="0.45">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7">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x14ac:dyDescent="0.45">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7">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x14ac:dyDescent="0.45">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7">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x14ac:dyDescent="0.45">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7">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x14ac:dyDescent="0.45">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7">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x14ac:dyDescent="0.45">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7">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x14ac:dyDescent="0.45">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7">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x14ac:dyDescent="0.45">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7">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x14ac:dyDescent="0.45">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7">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x14ac:dyDescent="0.45">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7">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x14ac:dyDescent="0.45">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7">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x14ac:dyDescent="0.45">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7">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x14ac:dyDescent="0.45">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7">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x14ac:dyDescent="0.45">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7">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x14ac:dyDescent="0.45">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7">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x14ac:dyDescent="0.45">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7">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x14ac:dyDescent="0.45">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7">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x14ac:dyDescent="0.45">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7">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x14ac:dyDescent="0.45">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7">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x14ac:dyDescent="0.45">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7">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x14ac:dyDescent="0.45">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7">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x14ac:dyDescent="0.45">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7">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x14ac:dyDescent="0.45">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7">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x14ac:dyDescent="0.45">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7">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x14ac:dyDescent="0.45">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7">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x14ac:dyDescent="0.45">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7">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x14ac:dyDescent="0.45">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7">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x14ac:dyDescent="0.45">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7">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x14ac:dyDescent="0.45">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7">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x14ac:dyDescent="0.45">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7">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x14ac:dyDescent="0.45">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7">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x14ac:dyDescent="0.45">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7">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x14ac:dyDescent="0.45">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7">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x14ac:dyDescent="0.45">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7">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x14ac:dyDescent="0.45">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7">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x14ac:dyDescent="0.45">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7">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x14ac:dyDescent="0.45">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7">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x14ac:dyDescent="0.45">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7">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x14ac:dyDescent="0.45">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7">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x14ac:dyDescent="0.45">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7">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x14ac:dyDescent="0.45">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7">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x14ac:dyDescent="0.45">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7">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x14ac:dyDescent="0.45">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7">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x14ac:dyDescent="0.45">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7">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x14ac:dyDescent="0.45">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7">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x14ac:dyDescent="0.45">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7">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x14ac:dyDescent="0.45">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7">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x14ac:dyDescent="0.45">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7">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x14ac:dyDescent="0.45">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7">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x14ac:dyDescent="0.45">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7">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x14ac:dyDescent="0.45">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7">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x14ac:dyDescent="0.45">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7">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x14ac:dyDescent="0.45">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7">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x14ac:dyDescent="0.45">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7">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x14ac:dyDescent="0.45">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7">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x14ac:dyDescent="0.45">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7">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x14ac:dyDescent="0.45">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7">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x14ac:dyDescent="0.45">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7">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x14ac:dyDescent="0.45">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7">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x14ac:dyDescent="0.45">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7">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x14ac:dyDescent="0.45">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7">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x14ac:dyDescent="0.45">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7">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x14ac:dyDescent="0.45">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7">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x14ac:dyDescent="0.45">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7">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x14ac:dyDescent="0.45">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7">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x14ac:dyDescent="0.45">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7">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x14ac:dyDescent="0.45">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7">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x14ac:dyDescent="0.45">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7">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x14ac:dyDescent="0.45">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7">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x14ac:dyDescent="0.45">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7">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x14ac:dyDescent="0.45">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7">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x14ac:dyDescent="0.45">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7">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x14ac:dyDescent="0.45">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7">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x14ac:dyDescent="0.45">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7">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x14ac:dyDescent="0.45">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7">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x14ac:dyDescent="0.45">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7">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x14ac:dyDescent="0.45">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7">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x14ac:dyDescent="0.45">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7">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x14ac:dyDescent="0.45">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7">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x14ac:dyDescent="0.45">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7">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x14ac:dyDescent="0.45">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7">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x14ac:dyDescent="0.45">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7">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x14ac:dyDescent="0.45">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7">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x14ac:dyDescent="0.45">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7">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x14ac:dyDescent="0.45">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7">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x14ac:dyDescent="0.45">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7">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x14ac:dyDescent="0.45">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7">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x14ac:dyDescent="0.45">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7">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x14ac:dyDescent="0.45">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7">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x14ac:dyDescent="0.45">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7">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x14ac:dyDescent="0.45">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7">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x14ac:dyDescent="0.45">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7">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x14ac:dyDescent="0.45">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7">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x14ac:dyDescent="0.45">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7">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x14ac:dyDescent="0.45">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7">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x14ac:dyDescent="0.45">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7">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x14ac:dyDescent="0.45">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7">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x14ac:dyDescent="0.45">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7">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x14ac:dyDescent="0.45">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7">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x14ac:dyDescent="0.45">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7">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x14ac:dyDescent="0.45">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7">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x14ac:dyDescent="0.45">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7">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x14ac:dyDescent="0.45">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7">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x14ac:dyDescent="0.45">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7">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x14ac:dyDescent="0.45">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7">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x14ac:dyDescent="0.45">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7">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x14ac:dyDescent="0.45">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7">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x14ac:dyDescent="0.45">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7">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x14ac:dyDescent="0.45">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7">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x14ac:dyDescent="0.45">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7">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x14ac:dyDescent="0.45">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7">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x14ac:dyDescent="0.45">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7">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x14ac:dyDescent="0.45">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7">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x14ac:dyDescent="0.45">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7">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x14ac:dyDescent="0.45">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7">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x14ac:dyDescent="0.45">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7">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x14ac:dyDescent="0.45">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7">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x14ac:dyDescent="0.45">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7">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x14ac:dyDescent="0.45">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7">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x14ac:dyDescent="0.45">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7">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x14ac:dyDescent="0.45">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7">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x14ac:dyDescent="0.45">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7">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x14ac:dyDescent="0.45">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7">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x14ac:dyDescent="0.45">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7">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x14ac:dyDescent="0.45">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7">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x14ac:dyDescent="0.45">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7">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x14ac:dyDescent="0.45">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7">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x14ac:dyDescent="0.45">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7">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x14ac:dyDescent="0.45">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7">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x14ac:dyDescent="0.45">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7">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x14ac:dyDescent="0.45">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7">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x14ac:dyDescent="0.45">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7">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x14ac:dyDescent="0.45">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7">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x14ac:dyDescent="0.45">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7">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x14ac:dyDescent="0.45">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7">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x14ac:dyDescent="0.45">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7">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x14ac:dyDescent="0.45">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7">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x14ac:dyDescent="0.45">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7">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x14ac:dyDescent="0.45">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7">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x14ac:dyDescent="0.45">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7">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x14ac:dyDescent="0.45">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7">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x14ac:dyDescent="0.45">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7">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x14ac:dyDescent="0.45">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7">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x14ac:dyDescent="0.45">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7">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x14ac:dyDescent="0.45">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7">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x14ac:dyDescent="0.45">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7">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x14ac:dyDescent="0.45">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7">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x14ac:dyDescent="0.45">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7">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x14ac:dyDescent="0.45">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7">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x14ac:dyDescent="0.45">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7">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x14ac:dyDescent="0.45">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7">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x14ac:dyDescent="0.45">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7">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x14ac:dyDescent="0.45">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7">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x14ac:dyDescent="0.45">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7">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x14ac:dyDescent="0.45">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7">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x14ac:dyDescent="0.45">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7">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x14ac:dyDescent="0.45">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7">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x14ac:dyDescent="0.45">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7">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x14ac:dyDescent="0.45">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7">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x14ac:dyDescent="0.45">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7">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x14ac:dyDescent="0.45">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7">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x14ac:dyDescent="0.45">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7">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x14ac:dyDescent="0.45">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7">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x14ac:dyDescent="0.45">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7">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x14ac:dyDescent="0.45">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7">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x14ac:dyDescent="0.45">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7">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x14ac:dyDescent="0.45">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7">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x14ac:dyDescent="0.45">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7">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x14ac:dyDescent="0.45">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7">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x14ac:dyDescent="0.45">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7">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x14ac:dyDescent="0.45">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7">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x14ac:dyDescent="0.45">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7">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x14ac:dyDescent="0.45">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7">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x14ac:dyDescent="0.45">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7">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x14ac:dyDescent="0.45">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7">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x14ac:dyDescent="0.45">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7">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x14ac:dyDescent="0.45">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7">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x14ac:dyDescent="0.45">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7">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x14ac:dyDescent="0.45">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7">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x14ac:dyDescent="0.45">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7">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x14ac:dyDescent="0.45">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7">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x14ac:dyDescent="0.45">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7">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x14ac:dyDescent="0.45">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7">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x14ac:dyDescent="0.45">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7">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x14ac:dyDescent="0.45">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7">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x14ac:dyDescent="0.45">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7">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x14ac:dyDescent="0.45">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7">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x14ac:dyDescent="0.45">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7">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x14ac:dyDescent="0.45">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7">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x14ac:dyDescent="0.45">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7">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x14ac:dyDescent="0.45">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7">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x14ac:dyDescent="0.45">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7">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x14ac:dyDescent="0.45">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7">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x14ac:dyDescent="0.45">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7">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x14ac:dyDescent="0.45">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7">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x14ac:dyDescent="0.45">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7">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x14ac:dyDescent="0.45">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7">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x14ac:dyDescent="0.45">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7">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x14ac:dyDescent="0.45">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7">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x14ac:dyDescent="0.45">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7">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x14ac:dyDescent="0.45">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7">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x14ac:dyDescent="0.45">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7">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x14ac:dyDescent="0.45">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7">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x14ac:dyDescent="0.45">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7">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x14ac:dyDescent="0.45">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7">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x14ac:dyDescent="0.45">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7">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x14ac:dyDescent="0.45">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7">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x14ac:dyDescent="0.45">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7">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x14ac:dyDescent="0.45">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7">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x14ac:dyDescent="0.45">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7">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x14ac:dyDescent="0.45">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7">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x14ac:dyDescent="0.45">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7">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x14ac:dyDescent="0.45">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7">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x14ac:dyDescent="0.45">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7">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x14ac:dyDescent="0.45">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7">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x14ac:dyDescent="0.45">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7">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x14ac:dyDescent="0.45">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7">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x14ac:dyDescent="0.45">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7">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x14ac:dyDescent="0.45">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7">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x14ac:dyDescent="0.45">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7">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x14ac:dyDescent="0.45">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7">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x14ac:dyDescent="0.45">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7">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x14ac:dyDescent="0.45">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7">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x14ac:dyDescent="0.45">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7">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x14ac:dyDescent="0.45">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7">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x14ac:dyDescent="0.45">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7">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x14ac:dyDescent="0.45">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7">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x14ac:dyDescent="0.45">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7">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x14ac:dyDescent="0.45">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7">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x14ac:dyDescent="0.45">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7">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x14ac:dyDescent="0.45">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7">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x14ac:dyDescent="0.45">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7">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x14ac:dyDescent="0.45">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7">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x14ac:dyDescent="0.45">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7">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x14ac:dyDescent="0.45">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7">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x14ac:dyDescent="0.45">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7">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x14ac:dyDescent="0.45">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7">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x14ac:dyDescent="0.45">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7">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x14ac:dyDescent="0.45">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7">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x14ac:dyDescent="0.45">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7">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x14ac:dyDescent="0.45">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7">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x14ac:dyDescent="0.45">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7">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x14ac:dyDescent="0.45">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7">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x14ac:dyDescent="0.45">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7">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x14ac:dyDescent="0.45">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7">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x14ac:dyDescent="0.45">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7">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x14ac:dyDescent="0.45">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7">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x14ac:dyDescent="0.45">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7">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x14ac:dyDescent="0.45">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7">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x14ac:dyDescent="0.45">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7">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x14ac:dyDescent="0.45">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7">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x14ac:dyDescent="0.45">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7">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x14ac:dyDescent="0.45">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7">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x14ac:dyDescent="0.45">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7">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x14ac:dyDescent="0.45">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7">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x14ac:dyDescent="0.45">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7">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x14ac:dyDescent="0.45">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7">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x14ac:dyDescent="0.45">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7">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x14ac:dyDescent="0.45">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7">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x14ac:dyDescent="0.45">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7">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x14ac:dyDescent="0.45">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7">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x14ac:dyDescent="0.45">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7">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x14ac:dyDescent="0.45">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7">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x14ac:dyDescent="0.45">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7">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x14ac:dyDescent="0.45">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7">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x14ac:dyDescent="0.45">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7">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x14ac:dyDescent="0.45">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7">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x14ac:dyDescent="0.45">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7">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x14ac:dyDescent="0.45">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7">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x14ac:dyDescent="0.45">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7">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x14ac:dyDescent="0.45">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7">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x14ac:dyDescent="0.45">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7">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x14ac:dyDescent="0.45">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7">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x14ac:dyDescent="0.45">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7">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x14ac:dyDescent="0.45">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7">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x14ac:dyDescent="0.45">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7">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x14ac:dyDescent="0.45">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7">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x14ac:dyDescent="0.45">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7">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x14ac:dyDescent="0.45">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7">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x14ac:dyDescent="0.45">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7">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x14ac:dyDescent="0.45">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7">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x14ac:dyDescent="0.45">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7">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x14ac:dyDescent="0.45">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7">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x14ac:dyDescent="0.45">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7">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x14ac:dyDescent="0.45">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7">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x14ac:dyDescent="0.45">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7">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x14ac:dyDescent="0.45">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7">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x14ac:dyDescent="0.45">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7">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x14ac:dyDescent="0.45">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7">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x14ac:dyDescent="0.45">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7">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x14ac:dyDescent="0.45">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7">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x14ac:dyDescent="0.45">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7">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x14ac:dyDescent="0.45">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7">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x14ac:dyDescent="0.45">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7">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x14ac:dyDescent="0.45">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7">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x14ac:dyDescent="0.45">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7">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x14ac:dyDescent="0.45">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7">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x14ac:dyDescent="0.45">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7">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x14ac:dyDescent="0.45">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7">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x14ac:dyDescent="0.45">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7">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x14ac:dyDescent="0.45">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7">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x14ac:dyDescent="0.45">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7">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x14ac:dyDescent="0.45">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7">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x14ac:dyDescent="0.45">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7">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x14ac:dyDescent="0.45">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7">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x14ac:dyDescent="0.45">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7">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x14ac:dyDescent="0.45">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7">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x14ac:dyDescent="0.45">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7">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x14ac:dyDescent="0.45">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7">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x14ac:dyDescent="0.45">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7">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x14ac:dyDescent="0.45">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7">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x14ac:dyDescent="0.45">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7">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x14ac:dyDescent="0.45">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7">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x14ac:dyDescent="0.45">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7">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x14ac:dyDescent="0.45">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7">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x14ac:dyDescent="0.45">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7">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x14ac:dyDescent="0.45">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7">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x14ac:dyDescent="0.45">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7">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x14ac:dyDescent="0.45">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7">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x14ac:dyDescent="0.45">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7">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x14ac:dyDescent="0.45">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7">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x14ac:dyDescent="0.45">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7">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x14ac:dyDescent="0.45">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7">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x14ac:dyDescent="0.45">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7">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x14ac:dyDescent="0.45">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7">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x14ac:dyDescent="0.45">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7">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x14ac:dyDescent="0.45">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7">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x14ac:dyDescent="0.45">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7">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x14ac:dyDescent="0.45">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7">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x14ac:dyDescent="0.45">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7">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x14ac:dyDescent="0.45">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7">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x14ac:dyDescent="0.45">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7">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x14ac:dyDescent="0.45">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7">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x14ac:dyDescent="0.45">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7">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x14ac:dyDescent="0.45">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7">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x14ac:dyDescent="0.45">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7">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x14ac:dyDescent="0.45">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7">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x14ac:dyDescent="0.45">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7">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x14ac:dyDescent="0.45">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7">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x14ac:dyDescent="0.45">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7">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x14ac:dyDescent="0.45">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7">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x14ac:dyDescent="0.45">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7">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x14ac:dyDescent="0.45">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7">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x14ac:dyDescent="0.45">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7">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x14ac:dyDescent="0.45">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7">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x14ac:dyDescent="0.45">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7">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x14ac:dyDescent="0.45">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7">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x14ac:dyDescent="0.45">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7">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x14ac:dyDescent="0.45">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7">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x14ac:dyDescent="0.45">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7">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x14ac:dyDescent="0.45">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7">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x14ac:dyDescent="0.45">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7">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x14ac:dyDescent="0.45">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7">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x14ac:dyDescent="0.45">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7">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x14ac:dyDescent="0.45">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7">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x14ac:dyDescent="0.45">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7">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x14ac:dyDescent="0.45">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7">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x14ac:dyDescent="0.45">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7">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x14ac:dyDescent="0.45">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7">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x14ac:dyDescent="0.45">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7">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x14ac:dyDescent="0.45">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7">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x14ac:dyDescent="0.45">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7">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x14ac:dyDescent="0.45">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7">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x14ac:dyDescent="0.45">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7">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x14ac:dyDescent="0.45">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7">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x14ac:dyDescent="0.45">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7">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x14ac:dyDescent="0.45">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7">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x14ac:dyDescent="0.45">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7">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x14ac:dyDescent="0.45">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7">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x14ac:dyDescent="0.45">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7">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x14ac:dyDescent="0.45">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7">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x14ac:dyDescent="0.45">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7">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x14ac:dyDescent="0.45">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7">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x14ac:dyDescent="0.45">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7">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x14ac:dyDescent="0.45">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7">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x14ac:dyDescent="0.45">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7">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x14ac:dyDescent="0.45">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7">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x14ac:dyDescent="0.45">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7">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x14ac:dyDescent="0.45">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7">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x14ac:dyDescent="0.45">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7">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x14ac:dyDescent="0.45">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7">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x14ac:dyDescent="0.45">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7">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x14ac:dyDescent="0.45">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7">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x14ac:dyDescent="0.45">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7">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x14ac:dyDescent="0.45">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7">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x14ac:dyDescent="0.45">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7">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x14ac:dyDescent="0.45">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7">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x14ac:dyDescent="0.45">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7">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x14ac:dyDescent="0.45">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7">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x14ac:dyDescent="0.45">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7">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x14ac:dyDescent="0.45">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7">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x14ac:dyDescent="0.45">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7">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x14ac:dyDescent="0.45">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7">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x14ac:dyDescent="0.45">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7">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x14ac:dyDescent="0.45">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7">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x14ac:dyDescent="0.45">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7">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x14ac:dyDescent="0.45">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7">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x14ac:dyDescent="0.45">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7">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x14ac:dyDescent="0.45">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7">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x14ac:dyDescent="0.45">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7">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x14ac:dyDescent="0.45">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7">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x14ac:dyDescent="0.45">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7">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x14ac:dyDescent="0.45">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7">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x14ac:dyDescent="0.45">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7">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x14ac:dyDescent="0.45">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7">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x14ac:dyDescent="0.45">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7">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x14ac:dyDescent="0.45">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7">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x14ac:dyDescent="0.45">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7">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x14ac:dyDescent="0.45">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7">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x14ac:dyDescent="0.45">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7">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x14ac:dyDescent="0.45">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7">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x14ac:dyDescent="0.45">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7">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x14ac:dyDescent="0.45">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7">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x14ac:dyDescent="0.45">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7">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x14ac:dyDescent="0.45">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7">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x14ac:dyDescent="0.45">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7">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x14ac:dyDescent="0.45">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7">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x14ac:dyDescent="0.45">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7">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x14ac:dyDescent="0.45">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7">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x14ac:dyDescent="0.45">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7">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x14ac:dyDescent="0.45">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7">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x14ac:dyDescent="0.45">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7">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x14ac:dyDescent="0.45">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7">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x14ac:dyDescent="0.45">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7">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x14ac:dyDescent="0.45">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7">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x14ac:dyDescent="0.45">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7">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x14ac:dyDescent="0.45">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7">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x14ac:dyDescent="0.45">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7">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x14ac:dyDescent="0.45">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7">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x14ac:dyDescent="0.45">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7">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x14ac:dyDescent="0.45">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7">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x14ac:dyDescent="0.45">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7">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x14ac:dyDescent="0.45">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7">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x14ac:dyDescent="0.45">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7">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x14ac:dyDescent="0.45">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7">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x14ac:dyDescent="0.45">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7">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x14ac:dyDescent="0.45">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7">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x14ac:dyDescent="0.45">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7">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x14ac:dyDescent="0.45">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7">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x14ac:dyDescent="0.45">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7">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x14ac:dyDescent="0.45">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7">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x14ac:dyDescent="0.45">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7">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x14ac:dyDescent="0.45">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7">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x14ac:dyDescent="0.45">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7">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x14ac:dyDescent="0.45">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7">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x14ac:dyDescent="0.45">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7">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x14ac:dyDescent="0.45">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7">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x14ac:dyDescent="0.45">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7">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x14ac:dyDescent="0.45">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7">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x14ac:dyDescent="0.45">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7">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x14ac:dyDescent="0.45">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7">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x14ac:dyDescent="0.45">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7">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x14ac:dyDescent="0.45">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7">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x14ac:dyDescent="0.45">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7">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x14ac:dyDescent="0.45">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7">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x14ac:dyDescent="0.45">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7">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x14ac:dyDescent="0.45">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7">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x14ac:dyDescent="0.45">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7">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x14ac:dyDescent="0.45">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7">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x14ac:dyDescent="0.45">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7">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x14ac:dyDescent="0.45">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7">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x14ac:dyDescent="0.45">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7">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x14ac:dyDescent="0.45">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7">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x14ac:dyDescent="0.45">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7">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x14ac:dyDescent="0.45">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7">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x14ac:dyDescent="0.45">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7">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x14ac:dyDescent="0.45">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7">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x14ac:dyDescent="0.45">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7">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x14ac:dyDescent="0.45">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7">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x14ac:dyDescent="0.45">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7">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x14ac:dyDescent="0.45">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7">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x14ac:dyDescent="0.45">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7">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x14ac:dyDescent="0.45">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7">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x14ac:dyDescent="0.45">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7">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x14ac:dyDescent="0.45">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7">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x14ac:dyDescent="0.45">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7">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x14ac:dyDescent="0.45">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7">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x14ac:dyDescent="0.45">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7">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x14ac:dyDescent="0.45">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7">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x14ac:dyDescent="0.45">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7">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x14ac:dyDescent="0.45">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7">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x14ac:dyDescent="0.45">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7">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x14ac:dyDescent="0.45">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7">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x14ac:dyDescent="0.45">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7">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x14ac:dyDescent="0.45">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7">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x14ac:dyDescent="0.45">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7">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x14ac:dyDescent="0.45">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7">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x14ac:dyDescent="0.45">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7">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x14ac:dyDescent="0.45">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7">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x14ac:dyDescent="0.45">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7">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x14ac:dyDescent="0.45">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7">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x14ac:dyDescent="0.45">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7">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x14ac:dyDescent="0.45">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7">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x14ac:dyDescent="0.45">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7">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x14ac:dyDescent="0.45">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7">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x14ac:dyDescent="0.45">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7">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x14ac:dyDescent="0.45">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7">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x14ac:dyDescent="0.45">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7">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x14ac:dyDescent="0.45">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7">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x14ac:dyDescent="0.45">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7">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x14ac:dyDescent="0.45">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7">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x14ac:dyDescent="0.45">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7">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x14ac:dyDescent="0.45">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7">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x14ac:dyDescent="0.45">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7">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x14ac:dyDescent="0.45">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7">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x14ac:dyDescent="0.45">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7">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x14ac:dyDescent="0.45">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7">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x14ac:dyDescent="0.45">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7">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x14ac:dyDescent="0.45">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7">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x14ac:dyDescent="0.45">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7">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x14ac:dyDescent="0.45">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7">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x14ac:dyDescent="0.45">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7">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x14ac:dyDescent="0.45">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7">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x14ac:dyDescent="0.45">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7">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x14ac:dyDescent="0.45">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7">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x14ac:dyDescent="0.45">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7">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x14ac:dyDescent="0.45">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7">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x14ac:dyDescent="0.45">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7">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x14ac:dyDescent="0.45">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7">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x14ac:dyDescent="0.45">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7">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x14ac:dyDescent="0.45">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7">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x14ac:dyDescent="0.45">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7">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x14ac:dyDescent="0.45">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7">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x14ac:dyDescent="0.45">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7">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x14ac:dyDescent="0.45">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7">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x14ac:dyDescent="0.45">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7">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x14ac:dyDescent="0.45">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7">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x14ac:dyDescent="0.45">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7">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x14ac:dyDescent="0.45">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7">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x14ac:dyDescent="0.45">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7">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x14ac:dyDescent="0.45">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7">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x14ac:dyDescent="0.45">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7">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x14ac:dyDescent="0.45">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7">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x14ac:dyDescent="0.45">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7">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x14ac:dyDescent="0.45">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7">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x14ac:dyDescent="0.45">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7">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x14ac:dyDescent="0.45">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7">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x14ac:dyDescent="0.45">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7">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x14ac:dyDescent="0.45">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7">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x14ac:dyDescent="0.45">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7">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x14ac:dyDescent="0.45">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7">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x14ac:dyDescent="0.45">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7">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x14ac:dyDescent="0.45">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7">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x14ac:dyDescent="0.45">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7">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x14ac:dyDescent="0.45">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7">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x14ac:dyDescent="0.45">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7">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x14ac:dyDescent="0.45">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7">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x14ac:dyDescent="0.45">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7">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x14ac:dyDescent="0.45">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7">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x14ac:dyDescent="0.45">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7">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x14ac:dyDescent="0.45">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7">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x14ac:dyDescent="0.45">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7">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x14ac:dyDescent="0.45">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7">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x14ac:dyDescent="0.45">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7">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x14ac:dyDescent="0.45">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7">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x14ac:dyDescent="0.45">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7">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x14ac:dyDescent="0.45">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7">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x14ac:dyDescent="0.45">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7">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x14ac:dyDescent="0.45">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7">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x14ac:dyDescent="0.45">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7">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x14ac:dyDescent="0.45">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7">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x14ac:dyDescent="0.45">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7">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x14ac:dyDescent="0.45">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7">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x14ac:dyDescent="0.45">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7">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x14ac:dyDescent="0.45">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7">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x14ac:dyDescent="0.45">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7">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x14ac:dyDescent="0.45">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7">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x14ac:dyDescent="0.45">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7">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x14ac:dyDescent="0.45">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7">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x14ac:dyDescent="0.45">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7">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x14ac:dyDescent="0.45">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7">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x14ac:dyDescent="0.45">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7">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x14ac:dyDescent="0.45">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7">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x14ac:dyDescent="0.45">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7">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x14ac:dyDescent="0.45">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7">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x14ac:dyDescent="0.45">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7">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x14ac:dyDescent="0.45">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7">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x14ac:dyDescent="0.45">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7">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x14ac:dyDescent="0.45">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7">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x14ac:dyDescent="0.45">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7">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x14ac:dyDescent="0.45">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7">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x14ac:dyDescent="0.45">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7">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x14ac:dyDescent="0.45">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7">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x14ac:dyDescent="0.45">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7">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x14ac:dyDescent="0.45">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7">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x14ac:dyDescent="0.45">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7">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x14ac:dyDescent="0.45">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7">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x14ac:dyDescent="0.45">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7">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x14ac:dyDescent="0.45">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7">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x14ac:dyDescent="0.45">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7">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x14ac:dyDescent="0.45">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7">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x14ac:dyDescent="0.45">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7">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x14ac:dyDescent="0.45">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7">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x14ac:dyDescent="0.45">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7">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x14ac:dyDescent="0.45">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7">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x14ac:dyDescent="0.45">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7">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x14ac:dyDescent="0.45">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7">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x14ac:dyDescent="0.45">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7">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x14ac:dyDescent="0.45">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7">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x14ac:dyDescent="0.45">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7">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x14ac:dyDescent="0.45">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7">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x14ac:dyDescent="0.45">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7">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x14ac:dyDescent="0.45">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7">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x14ac:dyDescent="0.45">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7">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x14ac:dyDescent="0.45">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7">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x14ac:dyDescent="0.45">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7">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x14ac:dyDescent="0.45">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7">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x14ac:dyDescent="0.45">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7">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x14ac:dyDescent="0.45">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7">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x14ac:dyDescent="0.45">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7">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x14ac:dyDescent="0.45">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7">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x14ac:dyDescent="0.45">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7">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x14ac:dyDescent="0.45">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7">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x14ac:dyDescent="0.45">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7">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x14ac:dyDescent="0.45">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7">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x14ac:dyDescent="0.45">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7">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x14ac:dyDescent="0.45">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7">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x14ac:dyDescent="0.45">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7">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x14ac:dyDescent="0.45">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7">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x14ac:dyDescent="0.45">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7">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x14ac:dyDescent="0.45">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7">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x14ac:dyDescent="0.45">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7">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x14ac:dyDescent="0.45">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7">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x14ac:dyDescent="0.45">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7">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x14ac:dyDescent="0.45">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7">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x14ac:dyDescent="0.45">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7">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x14ac:dyDescent="0.45">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7">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x14ac:dyDescent="0.45">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7">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x14ac:dyDescent="0.45">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7">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x14ac:dyDescent="0.45">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7">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x14ac:dyDescent="0.45">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7">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x14ac:dyDescent="0.45">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7">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x14ac:dyDescent="0.45">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7">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x14ac:dyDescent="0.45">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7">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x14ac:dyDescent="0.45">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7">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x14ac:dyDescent="0.45">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7">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x14ac:dyDescent="0.45">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7">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x14ac:dyDescent="0.45">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7">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x14ac:dyDescent="0.45">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7">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x14ac:dyDescent="0.45">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7">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x14ac:dyDescent="0.45">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7">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x14ac:dyDescent="0.45">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7">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x14ac:dyDescent="0.45">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7">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x14ac:dyDescent="0.45">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7">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x14ac:dyDescent="0.45">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7">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x14ac:dyDescent="0.45">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7">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x14ac:dyDescent="0.45">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7">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x14ac:dyDescent="0.45">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7">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x14ac:dyDescent="0.45">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7">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x14ac:dyDescent="0.45">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7">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x14ac:dyDescent="0.45">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7">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x14ac:dyDescent="0.45">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7">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x14ac:dyDescent="0.45">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7">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x14ac:dyDescent="0.45">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7">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x14ac:dyDescent="0.45">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7">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x14ac:dyDescent="0.45">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7">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x14ac:dyDescent="0.45">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7">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x14ac:dyDescent="0.45">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7">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x14ac:dyDescent="0.45">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7">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x14ac:dyDescent="0.45">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7">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x14ac:dyDescent="0.45">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7">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x14ac:dyDescent="0.45">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7">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x14ac:dyDescent="0.45">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7">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x14ac:dyDescent="0.45">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7">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x14ac:dyDescent="0.45">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7">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x14ac:dyDescent="0.45">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7">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x14ac:dyDescent="0.45">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7">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x14ac:dyDescent="0.45">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7">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x14ac:dyDescent="0.45">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7">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x14ac:dyDescent="0.45">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7">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x14ac:dyDescent="0.45">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7">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x14ac:dyDescent="0.45">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7">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x14ac:dyDescent="0.45">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7">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x14ac:dyDescent="0.45">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7">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x14ac:dyDescent="0.45">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7">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x14ac:dyDescent="0.45">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7">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x14ac:dyDescent="0.45">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7">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x14ac:dyDescent="0.45">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7">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x14ac:dyDescent="0.45">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7">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x14ac:dyDescent="0.45">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7">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x14ac:dyDescent="0.45">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7">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x14ac:dyDescent="0.45">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7">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x14ac:dyDescent="0.45">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7">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x14ac:dyDescent="0.45">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7">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x14ac:dyDescent="0.45">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7">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x14ac:dyDescent="0.45">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7">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x14ac:dyDescent="0.45">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7">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x14ac:dyDescent="0.45">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7">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x14ac:dyDescent="0.45">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7">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x14ac:dyDescent="0.45">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7">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x14ac:dyDescent="0.45">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7">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x14ac:dyDescent="0.45">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7">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x14ac:dyDescent="0.45">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7">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x14ac:dyDescent="0.45">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7">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x14ac:dyDescent="0.45">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7">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x14ac:dyDescent="0.45">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7">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x14ac:dyDescent="0.45">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7">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x14ac:dyDescent="0.45">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7">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x14ac:dyDescent="0.45">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7">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x14ac:dyDescent="0.45">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7">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x14ac:dyDescent="0.45">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7">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x14ac:dyDescent="0.45">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7">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x14ac:dyDescent="0.45">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7">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x14ac:dyDescent="0.45">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7">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x14ac:dyDescent="0.45">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7">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x14ac:dyDescent="0.45">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7">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x14ac:dyDescent="0.45">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7">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x14ac:dyDescent="0.45">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7">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x14ac:dyDescent="0.45">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7">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x14ac:dyDescent="0.45">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7">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x14ac:dyDescent="0.45">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7">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x14ac:dyDescent="0.45">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7">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x14ac:dyDescent="0.45">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7">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x14ac:dyDescent="0.45">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7">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x14ac:dyDescent="0.45">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7">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x14ac:dyDescent="0.45">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7">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x14ac:dyDescent="0.45">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7">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x14ac:dyDescent="0.45">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7">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x14ac:dyDescent="0.45">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7">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x14ac:dyDescent="0.45">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7">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x14ac:dyDescent="0.45">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7">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x14ac:dyDescent="0.45">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7">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x14ac:dyDescent="0.45">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7">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x14ac:dyDescent="0.45">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7">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x14ac:dyDescent="0.45">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7">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x14ac:dyDescent="0.45">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7">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x14ac:dyDescent="0.45">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7">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x14ac:dyDescent="0.45">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7">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x14ac:dyDescent="0.45">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7">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x14ac:dyDescent="0.45">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7">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x14ac:dyDescent="0.45">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7">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x14ac:dyDescent="0.45">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7">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x14ac:dyDescent="0.45">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7">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x14ac:dyDescent="0.45">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7">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x14ac:dyDescent="0.45">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7">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x14ac:dyDescent="0.45">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7">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x14ac:dyDescent="0.45">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7">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x14ac:dyDescent="0.45">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7">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x14ac:dyDescent="0.45">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7">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x14ac:dyDescent="0.45">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7">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x14ac:dyDescent="0.45">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7">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x14ac:dyDescent="0.45">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7">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x14ac:dyDescent="0.45">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7">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x14ac:dyDescent="0.45">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7">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x14ac:dyDescent="0.45">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7">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x14ac:dyDescent="0.45">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7">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x14ac:dyDescent="0.45">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7">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x14ac:dyDescent="0.45">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7">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x14ac:dyDescent="0.45">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7">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x14ac:dyDescent="0.45">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7">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x14ac:dyDescent="0.45">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7">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x14ac:dyDescent="0.45">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7">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x14ac:dyDescent="0.45">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7">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x14ac:dyDescent="0.45">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7">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x14ac:dyDescent="0.45">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7">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x14ac:dyDescent="0.45">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7">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x14ac:dyDescent="0.45">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7">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x14ac:dyDescent="0.45">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7">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x14ac:dyDescent="0.45">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7">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x14ac:dyDescent="0.45">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7">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x14ac:dyDescent="0.45">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7">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x14ac:dyDescent="0.45">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7">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x14ac:dyDescent="0.45">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7">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x14ac:dyDescent="0.45">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7">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x14ac:dyDescent="0.45">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7">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x14ac:dyDescent="0.45">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7">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x14ac:dyDescent="0.45">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7">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x14ac:dyDescent="0.45">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7">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x14ac:dyDescent="0.45">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7">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x14ac:dyDescent="0.45">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7">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x14ac:dyDescent="0.45">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7">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x14ac:dyDescent="0.45">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7">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x14ac:dyDescent="0.45">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7">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x14ac:dyDescent="0.45">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7">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x14ac:dyDescent="0.45">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7">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x14ac:dyDescent="0.45">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7">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x14ac:dyDescent="0.45">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7">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x14ac:dyDescent="0.45">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7">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x14ac:dyDescent="0.45">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7">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x14ac:dyDescent="0.45">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7">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x14ac:dyDescent="0.45">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7">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x14ac:dyDescent="0.45">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7">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x14ac:dyDescent="0.45">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7">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x14ac:dyDescent="0.45">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7">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x14ac:dyDescent="0.45">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7">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x14ac:dyDescent="0.45">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7">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x14ac:dyDescent="0.45">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7">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x14ac:dyDescent="0.45">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7">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x14ac:dyDescent="0.45">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7">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x14ac:dyDescent="0.45">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7">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x14ac:dyDescent="0.45">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7">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x14ac:dyDescent="0.45">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7">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x14ac:dyDescent="0.45">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7">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x14ac:dyDescent="0.45">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7">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x14ac:dyDescent="0.45">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7">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x14ac:dyDescent="0.45">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7">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x14ac:dyDescent="0.45">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7">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x14ac:dyDescent="0.45">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7">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x14ac:dyDescent="0.45">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7">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x14ac:dyDescent="0.45">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7">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x14ac:dyDescent="0.45">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7">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x14ac:dyDescent="0.45">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7">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x14ac:dyDescent="0.45">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7">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x14ac:dyDescent="0.45">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7">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x14ac:dyDescent="0.45">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7">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x14ac:dyDescent="0.45">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7">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x14ac:dyDescent="0.45">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7">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x14ac:dyDescent="0.45">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7">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x14ac:dyDescent="0.45">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7">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x14ac:dyDescent="0.45">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7">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x14ac:dyDescent="0.45">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7">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x14ac:dyDescent="0.45">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7">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x14ac:dyDescent="0.45">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7">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x14ac:dyDescent="0.45">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7">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x14ac:dyDescent="0.45">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7">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x14ac:dyDescent="0.45">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7">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x14ac:dyDescent="0.45">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7">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x14ac:dyDescent="0.45">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7">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x14ac:dyDescent="0.45">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7">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x14ac:dyDescent="0.45">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7">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x14ac:dyDescent="0.45">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7">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x14ac:dyDescent="0.45">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7">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x14ac:dyDescent="0.45">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7">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x14ac:dyDescent="0.45">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7">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x14ac:dyDescent="0.45">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7">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x14ac:dyDescent="0.45">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7">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x14ac:dyDescent="0.45">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7">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x14ac:dyDescent="0.45">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7">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x14ac:dyDescent="0.45">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7">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x14ac:dyDescent="0.45">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7">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x14ac:dyDescent="0.45">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7">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x14ac:dyDescent="0.45">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7">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x14ac:dyDescent="0.45">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7">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x14ac:dyDescent="0.45">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7">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x14ac:dyDescent="0.45">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7">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x14ac:dyDescent="0.45">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7">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x14ac:dyDescent="0.45">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7">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x14ac:dyDescent="0.45">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7">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x14ac:dyDescent="0.45">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7">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x14ac:dyDescent="0.45">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7">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x14ac:dyDescent="0.45">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7">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x14ac:dyDescent="0.45">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7">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x14ac:dyDescent="0.45">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7">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x14ac:dyDescent="0.45">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7">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x14ac:dyDescent="0.45">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7">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x14ac:dyDescent="0.45">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7">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x14ac:dyDescent="0.45">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7">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x14ac:dyDescent="0.45">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7">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x14ac:dyDescent="0.45">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7">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x14ac:dyDescent="0.45">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7">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x14ac:dyDescent="0.45">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7">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x14ac:dyDescent="0.45">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7">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x14ac:dyDescent="0.45">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7">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x14ac:dyDescent="0.45">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7">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x14ac:dyDescent="0.45">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7">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x14ac:dyDescent="0.45">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7">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x14ac:dyDescent="0.45">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7">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x14ac:dyDescent="0.45">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7">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x14ac:dyDescent="0.45">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7">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x14ac:dyDescent="0.45">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7">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x14ac:dyDescent="0.45">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7">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x14ac:dyDescent="0.45">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7">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x14ac:dyDescent="0.45">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7">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x14ac:dyDescent="0.45">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7">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x14ac:dyDescent="0.45">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7">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x14ac:dyDescent="0.45">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7">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x14ac:dyDescent="0.45">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7">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x14ac:dyDescent="0.45">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7">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x14ac:dyDescent="0.45">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7">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x14ac:dyDescent="0.45">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7">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x14ac:dyDescent="0.45">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7">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x14ac:dyDescent="0.45">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7">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x14ac:dyDescent="0.45">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7">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x14ac:dyDescent="0.45">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7">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x14ac:dyDescent="0.45">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7">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x14ac:dyDescent="0.45">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7">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x14ac:dyDescent="0.45">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7">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x14ac:dyDescent="0.45">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7">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x14ac:dyDescent="0.45">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7">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x14ac:dyDescent="0.45">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7">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x14ac:dyDescent="0.45">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7">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x14ac:dyDescent="0.45">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7">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x14ac:dyDescent="0.45">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7">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x14ac:dyDescent="0.45">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7">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x14ac:dyDescent="0.45">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7">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x14ac:dyDescent="0.45">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7">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x14ac:dyDescent="0.45">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7">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x14ac:dyDescent="0.45">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7">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x14ac:dyDescent="0.45">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7">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x14ac:dyDescent="0.45">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7">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x14ac:dyDescent="0.45">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7">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x14ac:dyDescent="0.45">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7">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x14ac:dyDescent="0.45">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7">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x14ac:dyDescent="0.45">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7">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x14ac:dyDescent="0.45">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7">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x14ac:dyDescent="0.45">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7">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x14ac:dyDescent="0.45">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7">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x14ac:dyDescent="0.45">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7">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x14ac:dyDescent="0.45">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7">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x14ac:dyDescent="0.45">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7">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x14ac:dyDescent="0.45">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7">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x14ac:dyDescent="0.45">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7">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x14ac:dyDescent="0.45">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7">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x14ac:dyDescent="0.45">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7">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x14ac:dyDescent="0.45">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7">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x14ac:dyDescent="0.45">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7">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x14ac:dyDescent="0.45">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7">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x14ac:dyDescent="0.45">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7">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x14ac:dyDescent="0.45">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7">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x14ac:dyDescent="0.45">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7">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x14ac:dyDescent="0.45">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7">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x14ac:dyDescent="0.45">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7">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x14ac:dyDescent="0.45">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7">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x14ac:dyDescent="0.45">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7">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x14ac:dyDescent="0.45">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7">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x14ac:dyDescent="0.45">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7">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x14ac:dyDescent="0.45">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7">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x14ac:dyDescent="0.45">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7">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x14ac:dyDescent="0.45">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7">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x14ac:dyDescent="0.45">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7">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x14ac:dyDescent="0.45">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7">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x14ac:dyDescent="0.45">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7">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x14ac:dyDescent="0.45">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7">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x14ac:dyDescent="0.45">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7">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x14ac:dyDescent="0.45">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7">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x14ac:dyDescent="0.45">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7">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x14ac:dyDescent="0.45">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7">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x14ac:dyDescent="0.45">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7">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x14ac:dyDescent="0.45">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7">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x14ac:dyDescent="0.45">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7">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x14ac:dyDescent="0.45">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7">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x14ac:dyDescent="0.45">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7">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x14ac:dyDescent="0.45">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7">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x14ac:dyDescent="0.45">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7">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x14ac:dyDescent="0.45">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7">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x14ac:dyDescent="0.45">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7">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x14ac:dyDescent="0.45">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7">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x14ac:dyDescent="0.45">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7">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x14ac:dyDescent="0.45">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7">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x14ac:dyDescent="0.45">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7">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x14ac:dyDescent="0.45">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7">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x14ac:dyDescent="0.45">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7">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x14ac:dyDescent="0.45">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7">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x14ac:dyDescent="0.45">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7">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x14ac:dyDescent="0.45">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7">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x14ac:dyDescent="0.45">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7">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x14ac:dyDescent="0.45">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7">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x14ac:dyDescent="0.45">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7">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x14ac:dyDescent="0.45">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7">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x14ac:dyDescent="0.45">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7">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x14ac:dyDescent="0.45">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7">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x14ac:dyDescent="0.45">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7">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x14ac:dyDescent="0.45">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7">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x14ac:dyDescent="0.45">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7">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x14ac:dyDescent="0.45">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7">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x14ac:dyDescent="0.45">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7">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x14ac:dyDescent="0.45">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7">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x14ac:dyDescent="0.45">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7">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x14ac:dyDescent="0.45">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7">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x14ac:dyDescent="0.45">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7">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x14ac:dyDescent="0.45">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7">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x14ac:dyDescent="0.45">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7">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x14ac:dyDescent="0.45">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7">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x14ac:dyDescent="0.45">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7">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x14ac:dyDescent="0.45">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7">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x14ac:dyDescent="0.45">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7">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x14ac:dyDescent="0.45">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7">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x14ac:dyDescent="0.45">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7">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x14ac:dyDescent="0.45">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7">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x14ac:dyDescent="0.45">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7">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x14ac:dyDescent="0.45">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7">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x14ac:dyDescent="0.45">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7">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x14ac:dyDescent="0.45">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7">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x14ac:dyDescent="0.45">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7">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x14ac:dyDescent="0.45">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7">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x14ac:dyDescent="0.45">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7">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x14ac:dyDescent="0.45">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7">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x14ac:dyDescent="0.45">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7">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x14ac:dyDescent="0.45">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7">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x14ac:dyDescent="0.45">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7">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x14ac:dyDescent="0.45">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7">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x14ac:dyDescent="0.45">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7">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x14ac:dyDescent="0.45">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7">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x14ac:dyDescent="0.45">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7">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x14ac:dyDescent="0.45">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7">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x14ac:dyDescent="0.45">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7">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x14ac:dyDescent="0.45">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7">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x14ac:dyDescent="0.45">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7">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x14ac:dyDescent="0.45">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7">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x14ac:dyDescent="0.45">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7">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x14ac:dyDescent="0.45">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7">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x14ac:dyDescent="0.45">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7">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x14ac:dyDescent="0.45">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7">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x14ac:dyDescent="0.45">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7">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x14ac:dyDescent="0.45">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7">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x14ac:dyDescent="0.45">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7">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x14ac:dyDescent="0.45">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7">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x14ac:dyDescent="0.45">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7">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x14ac:dyDescent="0.45">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7">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x14ac:dyDescent="0.45">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7">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x14ac:dyDescent="0.45">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7">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x14ac:dyDescent="0.45">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7">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x14ac:dyDescent="0.45">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7">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x14ac:dyDescent="0.45">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7">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x14ac:dyDescent="0.45">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7">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x14ac:dyDescent="0.45">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7">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x14ac:dyDescent="0.45">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7">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x14ac:dyDescent="0.45">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7">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x14ac:dyDescent="0.45">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7">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x14ac:dyDescent="0.45">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7">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x14ac:dyDescent="0.45">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7">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x14ac:dyDescent="0.45">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7">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x14ac:dyDescent="0.45">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7">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x14ac:dyDescent="0.45">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7">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x14ac:dyDescent="0.45">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7">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x14ac:dyDescent="0.45">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7">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x14ac:dyDescent="0.45">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7">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x14ac:dyDescent="0.45">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7">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x14ac:dyDescent="0.45">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7">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x14ac:dyDescent="0.45">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7">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x14ac:dyDescent="0.45">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7">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x14ac:dyDescent="0.45">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7">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x14ac:dyDescent="0.45">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7">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x14ac:dyDescent="0.45">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7">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x14ac:dyDescent="0.45">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7">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x14ac:dyDescent="0.45">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7">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x14ac:dyDescent="0.45">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7">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x14ac:dyDescent="0.45">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7">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x14ac:dyDescent="0.45">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7">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x14ac:dyDescent="0.45">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7">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x14ac:dyDescent="0.45">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7">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x14ac:dyDescent="0.45">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7">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x14ac:dyDescent="0.45">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7">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x14ac:dyDescent="0.45">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7">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x14ac:dyDescent="0.45">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7">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x14ac:dyDescent="0.45">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7">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x14ac:dyDescent="0.45">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7">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x14ac:dyDescent="0.45">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7">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x14ac:dyDescent="0.45">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7">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x14ac:dyDescent="0.45">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7">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x14ac:dyDescent="0.45">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7">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x14ac:dyDescent="0.45">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7">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x14ac:dyDescent="0.45">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7">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x14ac:dyDescent="0.45">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7">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x14ac:dyDescent="0.45">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7">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x14ac:dyDescent="0.45">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7">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x14ac:dyDescent="0.45">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7">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x14ac:dyDescent="0.45">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7">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x14ac:dyDescent="0.45">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7">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x14ac:dyDescent="0.45">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7">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x14ac:dyDescent="0.45">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7">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x14ac:dyDescent="0.45">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7">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x14ac:dyDescent="0.45">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7">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x14ac:dyDescent="0.45">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7">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x14ac:dyDescent="0.45">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7">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x14ac:dyDescent="0.45">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7">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x14ac:dyDescent="0.45">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7">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x14ac:dyDescent="0.45">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7">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x14ac:dyDescent="0.45">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7">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x14ac:dyDescent="0.45">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7">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x14ac:dyDescent="0.45">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7">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x14ac:dyDescent="0.45">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7">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x14ac:dyDescent="0.45">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7">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x14ac:dyDescent="0.45">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7">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x14ac:dyDescent="0.45">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7">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x14ac:dyDescent="0.45">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7">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x14ac:dyDescent="0.45">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7">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x14ac:dyDescent="0.45">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7">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x14ac:dyDescent="0.45">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7">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x14ac:dyDescent="0.45">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7">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x14ac:dyDescent="0.45">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7">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x14ac:dyDescent="0.45">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7">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x14ac:dyDescent="0.45">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7">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x14ac:dyDescent="0.45">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7">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x14ac:dyDescent="0.45">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7">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x14ac:dyDescent="0.45">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7">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x14ac:dyDescent="0.45">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7">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x14ac:dyDescent="0.45">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7">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x14ac:dyDescent="0.45">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7">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x14ac:dyDescent="0.45">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7">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x14ac:dyDescent="0.45">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7">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x14ac:dyDescent="0.45">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7">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x14ac:dyDescent="0.45">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7">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x14ac:dyDescent="0.45">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7">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x14ac:dyDescent="0.45">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7">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x14ac:dyDescent="0.45">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7">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x14ac:dyDescent="0.45">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7">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x14ac:dyDescent="0.45">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7">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x14ac:dyDescent="0.45">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7">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x14ac:dyDescent="0.45">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7">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x14ac:dyDescent="0.45">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7">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x14ac:dyDescent="0.45">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7">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x14ac:dyDescent="0.45">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7">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x14ac:dyDescent="0.45">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7">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x14ac:dyDescent="0.45">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7">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x14ac:dyDescent="0.45">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7">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x14ac:dyDescent="0.45">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7">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x14ac:dyDescent="0.45">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7">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x14ac:dyDescent="0.45">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7">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x14ac:dyDescent="0.45">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7">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x14ac:dyDescent="0.45">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7">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x14ac:dyDescent="0.45">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7">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x14ac:dyDescent="0.45">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7">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x14ac:dyDescent="0.45">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7">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x14ac:dyDescent="0.45">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7">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x14ac:dyDescent="0.45">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7">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x14ac:dyDescent="0.45">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7">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x14ac:dyDescent="0.45">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7">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x14ac:dyDescent="0.45">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7">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x14ac:dyDescent="0.45">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7">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x14ac:dyDescent="0.45">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7">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x14ac:dyDescent="0.45">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7">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x14ac:dyDescent="0.45">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7">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x14ac:dyDescent="0.45">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7">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x14ac:dyDescent="0.45">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7">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x14ac:dyDescent="0.45">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7">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x14ac:dyDescent="0.45">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7">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x14ac:dyDescent="0.45">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7">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x14ac:dyDescent="0.45">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7">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x14ac:dyDescent="0.45">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7">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x14ac:dyDescent="0.45">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7">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x14ac:dyDescent="0.45">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7">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x14ac:dyDescent="0.45">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7">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x14ac:dyDescent="0.45">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7">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x14ac:dyDescent="0.45">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7">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x14ac:dyDescent="0.45">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7">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x14ac:dyDescent="0.45">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7">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x14ac:dyDescent="0.45">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7">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x14ac:dyDescent="0.45">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7">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x14ac:dyDescent="0.45">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7">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x14ac:dyDescent="0.45">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7">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x14ac:dyDescent="0.45">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7">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x14ac:dyDescent="0.45">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7">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x14ac:dyDescent="0.45">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7">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x14ac:dyDescent="0.45">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7">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x14ac:dyDescent="0.45">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7">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x14ac:dyDescent="0.45">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7">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x14ac:dyDescent="0.45">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7">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x14ac:dyDescent="0.45">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7">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x14ac:dyDescent="0.45">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7">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x14ac:dyDescent="0.45">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7">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x14ac:dyDescent="0.45">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7">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x14ac:dyDescent="0.45">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7">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x14ac:dyDescent="0.45">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7">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x14ac:dyDescent="0.45">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7">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x14ac:dyDescent="0.45">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7">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x14ac:dyDescent="0.45">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7">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x14ac:dyDescent="0.45">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7">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x14ac:dyDescent="0.45">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7">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x14ac:dyDescent="0.45">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7">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x14ac:dyDescent="0.45">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7">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x14ac:dyDescent="0.45">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7">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x14ac:dyDescent="0.45">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7">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x14ac:dyDescent="0.45">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7">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x14ac:dyDescent="0.45">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7">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x14ac:dyDescent="0.45">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7">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x14ac:dyDescent="0.45">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7">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x14ac:dyDescent="0.45">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7">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x14ac:dyDescent="0.45">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7">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x14ac:dyDescent="0.45">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7">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x14ac:dyDescent="0.45">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7">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x14ac:dyDescent="0.45">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7">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x14ac:dyDescent="0.45">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7">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x14ac:dyDescent="0.45">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7">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x14ac:dyDescent="0.45">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7">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x14ac:dyDescent="0.45">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7">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x14ac:dyDescent="0.45">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7">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x14ac:dyDescent="0.45">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7">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x14ac:dyDescent="0.45">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7">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x14ac:dyDescent="0.45">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7">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x14ac:dyDescent="0.45">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7">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x14ac:dyDescent="0.45">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7">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x14ac:dyDescent="0.45">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7">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x14ac:dyDescent="0.45">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7">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x14ac:dyDescent="0.45">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7">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x14ac:dyDescent="0.45">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7">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x14ac:dyDescent="0.45">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7">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x14ac:dyDescent="0.45">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7">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x14ac:dyDescent="0.45">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7">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x14ac:dyDescent="0.45">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7">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x14ac:dyDescent="0.45">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7">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x14ac:dyDescent="0.45">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7">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x14ac:dyDescent="0.45">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7">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x14ac:dyDescent="0.45">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7">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x14ac:dyDescent="0.45">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7">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x14ac:dyDescent="0.45">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7">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x14ac:dyDescent="0.45">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7">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x14ac:dyDescent="0.45">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7">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x14ac:dyDescent="0.45">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7">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x14ac:dyDescent="0.45">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7">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x14ac:dyDescent="0.45">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7">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x14ac:dyDescent="0.45">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7">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x14ac:dyDescent="0.45">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7">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x14ac:dyDescent="0.45">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7">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x14ac:dyDescent="0.45">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7">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x14ac:dyDescent="0.45">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7">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x14ac:dyDescent="0.45">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7">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x14ac:dyDescent="0.45">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7">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x14ac:dyDescent="0.45">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7">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x14ac:dyDescent="0.45">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7">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x14ac:dyDescent="0.45">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7">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x14ac:dyDescent="0.45">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7">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x14ac:dyDescent="0.45">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7">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x14ac:dyDescent="0.45">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7">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x14ac:dyDescent="0.45">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7">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x14ac:dyDescent="0.45">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7">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x14ac:dyDescent="0.45">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7">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x14ac:dyDescent="0.45">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7">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x14ac:dyDescent="0.45">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7">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x14ac:dyDescent="0.45">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7">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x14ac:dyDescent="0.45">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7">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x14ac:dyDescent="0.45">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7">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x14ac:dyDescent="0.45">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7">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x14ac:dyDescent="0.45">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7">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x14ac:dyDescent="0.45">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7">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x14ac:dyDescent="0.45">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7">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x14ac:dyDescent="0.45">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7">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x14ac:dyDescent="0.45">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7">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x14ac:dyDescent="0.45">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7">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x14ac:dyDescent="0.45">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7">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x14ac:dyDescent="0.45">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7">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x14ac:dyDescent="0.45">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7">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x14ac:dyDescent="0.45">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7">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x14ac:dyDescent="0.45">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7">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x14ac:dyDescent="0.45">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7">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x14ac:dyDescent="0.45">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7">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x14ac:dyDescent="0.45">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7">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x14ac:dyDescent="0.45">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7">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x14ac:dyDescent="0.45">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7">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x14ac:dyDescent="0.45">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7">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x14ac:dyDescent="0.45">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7">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x14ac:dyDescent="0.45">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7">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x14ac:dyDescent="0.45">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7">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x14ac:dyDescent="0.45">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7">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x14ac:dyDescent="0.45">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7">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x14ac:dyDescent="0.45">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7">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x14ac:dyDescent="0.45">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7">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x14ac:dyDescent="0.45">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7">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x14ac:dyDescent="0.45">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7">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x14ac:dyDescent="0.45">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7">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x14ac:dyDescent="0.45">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7">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x14ac:dyDescent="0.45">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7">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x14ac:dyDescent="0.45">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7">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x14ac:dyDescent="0.45">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7">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x14ac:dyDescent="0.45">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7">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x14ac:dyDescent="0.45">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7">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x14ac:dyDescent="0.45">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7">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x14ac:dyDescent="0.45">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7">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x14ac:dyDescent="0.45">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7">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x14ac:dyDescent="0.45">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7">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x14ac:dyDescent="0.45">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7">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x14ac:dyDescent="0.45">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7">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x14ac:dyDescent="0.45">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7">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x14ac:dyDescent="0.45">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7">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x14ac:dyDescent="0.45">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7">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x14ac:dyDescent="0.45">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7">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x14ac:dyDescent="0.45">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7">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x14ac:dyDescent="0.45">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7">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x14ac:dyDescent="0.45">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7">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x14ac:dyDescent="0.45">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7">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x14ac:dyDescent="0.45">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7">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x14ac:dyDescent="0.45">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7">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x14ac:dyDescent="0.45">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7">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x14ac:dyDescent="0.45">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7">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x14ac:dyDescent="0.45">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7">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x14ac:dyDescent="0.45">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7">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x14ac:dyDescent="0.45">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7">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x14ac:dyDescent="0.45">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7">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x14ac:dyDescent="0.45">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7">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x14ac:dyDescent="0.45">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7">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x14ac:dyDescent="0.45">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7">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x14ac:dyDescent="0.45">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7">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x14ac:dyDescent="0.45">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7">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x14ac:dyDescent="0.45">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7">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x14ac:dyDescent="0.45">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7">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x14ac:dyDescent="0.45">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7">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x14ac:dyDescent="0.45">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7">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x14ac:dyDescent="0.45">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7">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x14ac:dyDescent="0.45">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7">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x14ac:dyDescent="0.45">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7">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x14ac:dyDescent="0.45">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7">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x14ac:dyDescent="0.45">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7">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x14ac:dyDescent="0.45">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7">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x14ac:dyDescent="0.45">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7">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x14ac:dyDescent="0.45">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7">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x14ac:dyDescent="0.45">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7">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x14ac:dyDescent="0.45">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7">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x14ac:dyDescent="0.45">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7">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x14ac:dyDescent="0.45">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7">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x14ac:dyDescent="0.45">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7">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x14ac:dyDescent="0.45">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7">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x14ac:dyDescent="0.45">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7">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x14ac:dyDescent="0.45">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7">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x14ac:dyDescent="0.45">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7">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x14ac:dyDescent="0.45">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7">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x14ac:dyDescent="0.45">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7">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x14ac:dyDescent="0.45">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7">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x14ac:dyDescent="0.45">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7">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x14ac:dyDescent="0.45">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7">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x14ac:dyDescent="0.45">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7">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x14ac:dyDescent="0.45">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7">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x14ac:dyDescent="0.45">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7">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x14ac:dyDescent="0.45">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7">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x14ac:dyDescent="0.45">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7">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x14ac:dyDescent="0.45">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7">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x14ac:dyDescent="0.45">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7">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x14ac:dyDescent="0.45">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7">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x14ac:dyDescent="0.45">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7">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x14ac:dyDescent="0.45">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7">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x14ac:dyDescent="0.45">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7">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x14ac:dyDescent="0.45">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7">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x14ac:dyDescent="0.45">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7">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x14ac:dyDescent="0.45">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7">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x14ac:dyDescent="0.45">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7">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x14ac:dyDescent="0.45">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7">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x14ac:dyDescent="0.45">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7">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x14ac:dyDescent="0.45">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7">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x14ac:dyDescent="0.45">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7">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x14ac:dyDescent="0.45">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7">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x14ac:dyDescent="0.45">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7">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x14ac:dyDescent="0.45">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7">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x14ac:dyDescent="0.45">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7">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x14ac:dyDescent="0.45">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7">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x14ac:dyDescent="0.45">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7">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x14ac:dyDescent="0.45">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7">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x14ac:dyDescent="0.45">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7">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x14ac:dyDescent="0.45">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7">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x14ac:dyDescent="0.45">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7">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x14ac:dyDescent="0.45">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7">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x14ac:dyDescent="0.45">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7">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x14ac:dyDescent="0.45">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7">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x14ac:dyDescent="0.45">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7">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x14ac:dyDescent="0.45">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7">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x14ac:dyDescent="0.45">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7">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x14ac:dyDescent="0.45">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7">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x14ac:dyDescent="0.45">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7">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x14ac:dyDescent="0.45">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7">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x14ac:dyDescent="0.45">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7">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x14ac:dyDescent="0.45">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7">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x14ac:dyDescent="0.45">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7">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x14ac:dyDescent="0.45">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7">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x14ac:dyDescent="0.45">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7">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x14ac:dyDescent="0.45">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7">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x14ac:dyDescent="0.45">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7">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x14ac:dyDescent="0.45">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7">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x14ac:dyDescent="0.45">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7">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x14ac:dyDescent="0.45">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7">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x14ac:dyDescent="0.45">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7">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x14ac:dyDescent="0.45">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7">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x14ac:dyDescent="0.45">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7">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x14ac:dyDescent="0.45">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7">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x14ac:dyDescent="0.45">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7">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x14ac:dyDescent="0.45">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7">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x14ac:dyDescent="0.45">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7">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x14ac:dyDescent="0.45">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7">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x14ac:dyDescent="0.45">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7">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x14ac:dyDescent="0.45">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7">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x14ac:dyDescent="0.45">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7">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x14ac:dyDescent="0.45">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7">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x14ac:dyDescent="0.45">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7">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x14ac:dyDescent="0.45">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7">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x14ac:dyDescent="0.45">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7">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x14ac:dyDescent="0.45">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7">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x14ac:dyDescent="0.45">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7">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x14ac:dyDescent="0.45">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7">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x14ac:dyDescent="0.45">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7">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x14ac:dyDescent="0.45">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7">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x14ac:dyDescent="0.45">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7">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x14ac:dyDescent="0.45">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7">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x14ac:dyDescent="0.45">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7">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x14ac:dyDescent="0.45">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7">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x14ac:dyDescent="0.45">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7">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x14ac:dyDescent="0.45">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7">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x14ac:dyDescent="0.45">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7">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x14ac:dyDescent="0.45">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7">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x14ac:dyDescent="0.45">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7">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x14ac:dyDescent="0.45">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7">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x14ac:dyDescent="0.45">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7">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x14ac:dyDescent="0.45">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7">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x14ac:dyDescent="0.45">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7">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x14ac:dyDescent="0.45">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7">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x14ac:dyDescent="0.45">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7">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x14ac:dyDescent="0.45">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7">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x14ac:dyDescent="0.45">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7">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x14ac:dyDescent="0.45">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7">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x14ac:dyDescent="0.45">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7">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x14ac:dyDescent="0.45">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7">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x14ac:dyDescent="0.45">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7">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x14ac:dyDescent="0.45">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7">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x14ac:dyDescent="0.45">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7">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x14ac:dyDescent="0.45">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7">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x14ac:dyDescent="0.45">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7">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x14ac:dyDescent="0.45">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7">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x14ac:dyDescent="0.45">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7">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x14ac:dyDescent="0.45">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7">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x14ac:dyDescent="0.45">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7">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x14ac:dyDescent="0.45">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7">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x14ac:dyDescent="0.45">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7">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x14ac:dyDescent="0.45">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7">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x14ac:dyDescent="0.45">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7">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x14ac:dyDescent="0.45">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7">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x14ac:dyDescent="0.45">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7">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x14ac:dyDescent="0.45">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7">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x14ac:dyDescent="0.45">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7">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x14ac:dyDescent="0.45">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7">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x14ac:dyDescent="0.45">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7">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x14ac:dyDescent="0.45">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7">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x14ac:dyDescent="0.45">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7">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x14ac:dyDescent="0.45">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7">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x14ac:dyDescent="0.45">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7">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x14ac:dyDescent="0.45">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7">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x14ac:dyDescent="0.45">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7">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x14ac:dyDescent="0.45">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7">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x14ac:dyDescent="0.45">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7">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x14ac:dyDescent="0.45">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7">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x14ac:dyDescent="0.45">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7">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x14ac:dyDescent="0.45">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7">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x14ac:dyDescent="0.45">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7">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x14ac:dyDescent="0.45">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7">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x14ac:dyDescent="0.45">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7">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x14ac:dyDescent="0.45">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7">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x14ac:dyDescent="0.45">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7">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x14ac:dyDescent="0.45">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7">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x14ac:dyDescent="0.45">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7">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x14ac:dyDescent="0.45">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7">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x14ac:dyDescent="0.45">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7">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x14ac:dyDescent="0.45">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7">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x14ac:dyDescent="0.45">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7">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x14ac:dyDescent="0.45">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7">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x14ac:dyDescent="0.45">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7">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x14ac:dyDescent="0.45">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7">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x14ac:dyDescent="0.45">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7">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x14ac:dyDescent="0.45">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7">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x14ac:dyDescent="0.45">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7">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x14ac:dyDescent="0.45">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7">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x14ac:dyDescent="0.45">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7">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x14ac:dyDescent="0.45">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7">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x14ac:dyDescent="0.45">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7">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x14ac:dyDescent="0.45">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7">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x14ac:dyDescent="0.45">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7">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x14ac:dyDescent="0.45">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7">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x14ac:dyDescent="0.45">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7">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x14ac:dyDescent="0.45">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7">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x14ac:dyDescent="0.45">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7">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x14ac:dyDescent="0.45">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7">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x14ac:dyDescent="0.45">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7">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x14ac:dyDescent="0.45">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7">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x14ac:dyDescent="0.45">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7">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x14ac:dyDescent="0.45">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7">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x14ac:dyDescent="0.45">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7">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x14ac:dyDescent="0.45">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7">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x14ac:dyDescent="0.45">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7">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x14ac:dyDescent="0.45">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7">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x14ac:dyDescent="0.45">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7">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x14ac:dyDescent="0.45">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7">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x14ac:dyDescent="0.45">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7">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x14ac:dyDescent="0.45">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7">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x14ac:dyDescent="0.45">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7">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x14ac:dyDescent="0.45">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7">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x14ac:dyDescent="0.45">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7">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x14ac:dyDescent="0.45">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7">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x14ac:dyDescent="0.45">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7">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x14ac:dyDescent="0.45">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7">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x14ac:dyDescent="0.45">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7">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x14ac:dyDescent="0.45">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7">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x14ac:dyDescent="0.45">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7">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x14ac:dyDescent="0.45">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7">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x14ac:dyDescent="0.45">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7">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x14ac:dyDescent="0.45">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7">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x14ac:dyDescent="0.45">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7">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x14ac:dyDescent="0.45">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7">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x14ac:dyDescent="0.45">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7">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x14ac:dyDescent="0.45">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7">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x14ac:dyDescent="0.45">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7">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x14ac:dyDescent="0.45">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7">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x14ac:dyDescent="0.45">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7">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x14ac:dyDescent="0.45">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7">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x14ac:dyDescent="0.45">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7">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x14ac:dyDescent="0.45">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7">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x14ac:dyDescent="0.45">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7">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x14ac:dyDescent="0.45">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7">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x14ac:dyDescent="0.45">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7">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x14ac:dyDescent="0.45">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7">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x14ac:dyDescent="0.45">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7">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x14ac:dyDescent="0.45">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7">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x14ac:dyDescent="0.45">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7">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x14ac:dyDescent="0.45">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7">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x14ac:dyDescent="0.45">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7">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x14ac:dyDescent="0.45">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7">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x14ac:dyDescent="0.45">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7">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x14ac:dyDescent="0.45">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7">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x14ac:dyDescent="0.45">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7">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x14ac:dyDescent="0.45">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7">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x14ac:dyDescent="0.45">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7">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x14ac:dyDescent="0.45">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7">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x14ac:dyDescent="0.45">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7">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x14ac:dyDescent="0.45">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7">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x14ac:dyDescent="0.45">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7">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x14ac:dyDescent="0.45">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7">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x14ac:dyDescent="0.45">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7">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x14ac:dyDescent="0.45">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7">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x14ac:dyDescent="0.45">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7">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x14ac:dyDescent="0.45">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7">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x14ac:dyDescent="0.45">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7">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x14ac:dyDescent="0.45">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7">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x14ac:dyDescent="0.45">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7">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x14ac:dyDescent="0.45">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7">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x14ac:dyDescent="0.45">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7">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x14ac:dyDescent="0.45">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7">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x14ac:dyDescent="0.45">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7">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x14ac:dyDescent="0.45">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7">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x14ac:dyDescent="0.45">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7">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x14ac:dyDescent="0.45">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7">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x14ac:dyDescent="0.45">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7">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x14ac:dyDescent="0.45">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7">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x14ac:dyDescent="0.45">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7">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x14ac:dyDescent="0.45">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7">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x14ac:dyDescent="0.45">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7">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x14ac:dyDescent="0.45">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7">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x14ac:dyDescent="0.45">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7">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x14ac:dyDescent="0.45">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7">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x14ac:dyDescent="0.45">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7">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x14ac:dyDescent="0.45">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7">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x14ac:dyDescent="0.45">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7">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x14ac:dyDescent="0.45">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7">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x14ac:dyDescent="0.45">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7">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x14ac:dyDescent="0.45">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7">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x14ac:dyDescent="0.45">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7">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x14ac:dyDescent="0.45">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7">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x14ac:dyDescent="0.45">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7">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x14ac:dyDescent="0.45">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7">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x14ac:dyDescent="0.45">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7">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x14ac:dyDescent="0.45">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7">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x14ac:dyDescent="0.45">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7">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x14ac:dyDescent="0.45">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7">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x14ac:dyDescent="0.45">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7">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x14ac:dyDescent="0.45">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7">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x14ac:dyDescent="0.45">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7">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x14ac:dyDescent="0.45">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7">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x14ac:dyDescent="0.45">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7">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x14ac:dyDescent="0.45">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7">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x14ac:dyDescent="0.45">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7">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x14ac:dyDescent="0.45">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7">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x14ac:dyDescent="0.45">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7">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x14ac:dyDescent="0.45">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7">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x14ac:dyDescent="0.45">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7">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x14ac:dyDescent="0.45">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7">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x14ac:dyDescent="0.45">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7">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x14ac:dyDescent="0.45">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7">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x14ac:dyDescent="0.45">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7">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x14ac:dyDescent="0.45">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7">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x14ac:dyDescent="0.45">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7">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x14ac:dyDescent="0.45">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7">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x14ac:dyDescent="0.45">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7">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x14ac:dyDescent="0.45">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7">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x14ac:dyDescent="0.45">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7">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x14ac:dyDescent="0.45">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7">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x14ac:dyDescent="0.45">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7">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x14ac:dyDescent="0.45">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7">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x14ac:dyDescent="0.45">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7">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x14ac:dyDescent="0.45">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7">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x14ac:dyDescent="0.45">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7">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x14ac:dyDescent="0.45">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7">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x14ac:dyDescent="0.45">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7">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x14ac:dyDescent="0.45">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7">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x14ac:dyDescent="0.45">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7">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x14ac:dyDescent="0.45">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7">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x14ac:dyDescent="0.45">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7">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x14ac:dyDescent="0.45">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7">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x14ac:dyDescent="0.45">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7">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x14ac:dyDescent="0.45">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7">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x14ac:dyDescent="0.45">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7">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x14ac:dyDescent="0.45">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7">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x14ac:dyDescent="0.45">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7">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x14ac:dyDescent="0.45">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7">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x14ac:dyDescent="0.45">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7">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x14ac:dyDescent="0.45">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7">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x14ac:dyDescent="0.45">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7">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x14ac:dyDescent="0.45">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7">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x14ac:dyDescent="0.45">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7">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x14ac:dyDescent="0.45">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7">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x14ac:dyDescent="0.45">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7">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x14ac:dyDescent="0.45">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7">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x14ac:dyDescent="0.45">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7">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x14ac:dyDescent="0.45">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7">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x14ac:dyDescent="0.45">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7">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x14ac:dyDescent="0.45">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7">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x14ac:dyDescent="0.45">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7">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x14ac:dyDescent="0.45">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7">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x14ac:dyDescent="0.45">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7">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x14ac:dyDescent="0.45">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7">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x14ac:dyDescent="0.45">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7">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x14ac:dyDescent="0.45">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7">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x14ac:dyDescent="0.45">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7">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x14ac:dyDescent="0.45">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7">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x14ac:dyDescent="0.45">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7">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x14ac:dyDescent="0.45">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7">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x14ac:dyDescent="0.45">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7">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x14ac:dyDescent="0.45">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7">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x14ac:dyDescent="0.45">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7">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x14ac:dyDescent="0.45">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7">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x14ac:dyDescent="0.45">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7">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x14ac:dyDescent="0.45">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7">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x14ac:dyDescent="0.45">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7">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x14ac:dyDescent="0.45">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7">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x14ac:dyDescent="0.45">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7">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x14ac:dyDescent="0.45">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7">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x14ac:dyDescent="0.45">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7">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x14ac:dyDescent="0.45">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7">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x14ac:dyDescent="0.45">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7">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x14ac:dyDescent="0.45">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7">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x14ac:dyDescent="0.45">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7">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x14ac:dyDescent="0.45">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7">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x14ac:dyDescent="0.45">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7">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x14ac:dyDescent="0.45">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7">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x14ac:dyDescent="0.45">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7">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x14ac:dyDescent="0.45">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7">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x14ac:dyDescent="0.45">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7">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x14ac:dyDescent="0.45">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7">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x14ac:dyDescent="0.45">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7">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x14ac:dyDescent="0.45">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7">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x14ac:dyDescent="0.45">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7">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x14ac:dyDescent="0.45">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7">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x14ac:dyDescent="0.45">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7">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x14ac:dyDescent="0.45">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7">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x14ac:dyDescent="0.45">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7">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x14ac:dyDescent="0.45">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7">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x14ac:dyDescent="0.45">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7">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x14ac:dyDescent="0.45">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7">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x14ac:dyDescent="0.45">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7">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x14ac:dyDescent="0.45">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7">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x14ac:dyDescent="0.45">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7">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x14ac:dyDescent="0.45">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7">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x14ac:dyDescent="0.45">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7">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x14ac:dyDescent="0.45">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7">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x14ac:dyDescent="0.45">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7">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x14ac:dyDescent="0.45">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7">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x14ac:dyDescent="0.45">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7">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x14ac:dyDescent="0.45">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7">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x14ac:dyDescent="0.45">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7">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x14ac:dyDescent="0.45">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7">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x14ac:dyDescent="0.45">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7">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x14ac:dyDescent="0.45">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7">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x14ac:dyDescent="0.45">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7">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x14ac:dyDescent="0.45">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7">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x14ac:dyDescent="0.45">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7">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x14ac:dyDescent="0.45">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7">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x14ac:dyDescent="0.45">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7">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x14ac:dyDescent="0.45">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7">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x14ac:dyDescent="0.45">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7">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x14ac:dyDescent="0.45">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7">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x14ac:dyDescent="0.45">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7">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x14ac:dyDescent="0.45">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7">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x14ac:dyDescent="0.45">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7">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x14ac:dyDescent="0.45">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7">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x14ac:dyDescent="0.45">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7">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x14ac:dyDescent="0.45">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7">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x14ac:dyDescent="0.45">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7">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x14ac:dyDescent="0.45">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7">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x14ac:dyDescent="0.45">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7">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x14ac:dyDescent="0.45">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7">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x14ac:dyDescent="0.45">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7">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x14ac:dyDescent="0.45">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7">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x14ac:dyDescent="0.45">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7">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x14ac:dyDescent="0.45">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7">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x14ac:dyDescent="0.45">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7">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x14ac:dyDescent="0.45">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7">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x14ac:dyDescent="0.45">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7">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x14ac:dyDescent="0.45">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7">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x14ac:dyDescent="0.45">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7">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x14ac:dyDescent="0.45">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7">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x14ac:dyDescent="0.45">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7">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x14ac:dyDescent="0.45">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7">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x14ac:dyDescent="0.45">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7">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x14ac:dyDescent="0.45">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7">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x14ac:dyDescent="0.45">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7">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x14ac:dyDescent="0.45">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7">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x14ac:dyDescent="0.45">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7">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x14ac:dyDescent="0.45">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7">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x14ac:dyDescent="0.45">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7">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x14ac:dyDescent="0.45">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7">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x14ac:dyDescent="0.45">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7">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x14ac:dyDescent="0.45">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7">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x14ac:dyDescent="0.45">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7">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x14ac:dyDescent="0.45">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7">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x14ac:dyDescent="0.45">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7">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x14ac:dyDescent="0.45">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7">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x14ac:dyDescent="0.45">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7">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x14ac:dyDescent="0.45">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7">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x14ac:dyDescent="0.45">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7">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x14ac:dyDescent="0.45">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7">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x14ac:dyDescent="0.45">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7">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x14ac:dyDescent="0.45">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7">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x14ac:dyDescent="0.45">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7">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x14ac:dyDescent="0.45">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7">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x14ac:dyDescent="0.45">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7">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x14ac:dyDescent="0.45">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7">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x14ac:dyDescent="0.45">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7">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x14ac:dyDescent="0.45">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7">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x14ac:dyDescent="0.45">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7">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x14ac:dyDescent="0.45">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7">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x14ac:dyDescent="0.45">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7">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x14ac:dyDescent="0.45">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7">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x14ac:dyDescent="0.45">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7">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x14ac:dyDescent="0.45">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7">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x14ac:dyDescent="0.45">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7">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x14ac:dyDescent="0.45">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7">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x14ac:dyDescent="0.45">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7">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x14ac:dyDescent="0.45">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7">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x14ac:dyDescent="0.45">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7">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x14ac:dyDescent="0.45">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7">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x14ac:dyDescent="0.45">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7">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x14ac:dyDescent="0.45">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7">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x14ac:dyDescent="0.45">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7">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x14ac:dyDescent="0.45">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7">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x14ac:dyDescent="0.45">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7">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x14ac:dyDescent="0.45">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7">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x14ac:dyDescent="0.45">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7">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x14ac:dyDescent="0.45">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7">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x14ac:dyDescent="0.45">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7">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x14ac:dyDescent="0.45">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7">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x14ac:dyDescent="0.45">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7">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x14ac:dyDescent="0.45">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7">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x14ac:dyDescent="0.45">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7">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x14ac:dyDescent="0.45">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7">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x14ac:dyDescent="0.45">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7">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x14ac:dyDescent="0.45">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7">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x14ac:dyDescent="0.45">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7">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x14ac:dyDescent="0.45">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7">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x14ac:dyDescent="0.45">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7">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x14ac:dyDescent="0.45">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7">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x14ac:dyDescent="0.45">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7">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x14ac:dyDescent="0.45">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7">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x14ac:dyDescent="0.45">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7">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x14ac:dyDescent="0.45">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7">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x14ac:dyDescent="0.45">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7">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x14ac:dyDescent="0.45">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7">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x14ac:dyDescent="0.45">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7">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x14ac:dyDescent="0.45">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7">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x14ac:dyDescent="0.45">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7">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x14ac:dyDescent="0.45">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7">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x14ac:dyDescent="0.45">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7">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x14ac:dyDescent="0.45">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7">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x14ac:dyDescent="0.45">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7">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x14ac:dyDescent="0.45">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7">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x14ac:dyDescent="0.45">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7">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x14ac:dyDescent="0.45">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7">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x14ac:dyDescent="0.45">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7">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x14ac:dyDescent="0.45">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7">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x14ac:dyDescent="0.45">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7">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x14ac:dyDescent="0.45">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7">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x14ac:dyDescent="0.45">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7">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x14ac:dyDescent="0.45">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7">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x14ac:dyDescent="0.45">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7">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x14ac:dyDescent="0.45">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7">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x14ac:dyDescent="0.45">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7">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x14ac:dyDescent="0.45">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7">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x14ac:dyDescent="0.45">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7">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x14ac:dyDescent="0.45">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7">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x14ac:dyDescent="0.45">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7">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x14ac:dyDescent="0.45">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7">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x14ac:dyDescent="0.45">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7">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x14ac:dyDescent="0.45">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7">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x14ac:dyDescent="0.45">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7">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x14ac:dyDescent="0.45">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7">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x14ac:dyDescent="0.45">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7">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x14ac:dyDescent="0.45">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7">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x14ac:dyDescent="0.45">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7">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x14ac:dyDescent="0.45">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7">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x14ac:dyDescent="0.45">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7">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x14ac:dyDescent="0.45">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7">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x14ac:dyDescent="0.45">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7">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x14ac:dyDescent="0.45">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7">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x14ac:dyDescent="0.45">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7">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x14ac:dyDescent="0.45">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7">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x14ac:dyDescent="0.45">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7">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x14ac:dyDescent="0.45">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7">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x14ac:dyDescent="0.45">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7">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x14ac:dyDescent="0.45">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7">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x14ac:dyDescent="0.45">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7">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x14ac:dyDescent="0.45">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7">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x14ac:dyDescent="0.45">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7">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x14ac:dyDescent="0.45">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7">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x14ac:dyDescent="0.45">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7">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x14ac:dyDescent="0.45">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7">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x14ac:dyDescent="0.45">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7">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x14ac:dyDescent="0.45">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7">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x14ac:dyDescent="0.45">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7">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x14ac:dyDescent="0.45">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7">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x14ac:dyDescent="0.45">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7">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x14ac:dyDescent="0.45">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7">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x14ac:dyDescent="0.45">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7">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x14ac:dyDescent="0.45">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7">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x14ac:dyDescent="0.45">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7">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x14ac:dyDescent="0.45">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7">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x14ac:dyDescent="0.45">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7">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x14ac:dyDescent="0.45">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7">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x14ac:dyDescent="0.45">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7">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x14ac:dyDescent="0.45">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7">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x14ac:dyDescent="0.45">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7">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x14ac:dyDescent="0.45">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7">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x14ac:dyDescent="0.45">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7">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x14ac:dyDescent="0.45">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7">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x14ac:dyDescent="0.45">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7">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x14ac:dyDescent="0.45">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7">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x14ac:dyDescent="0.45">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7">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x14ac:dyDescent="0.45">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7">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x14ac:dyDescent="0.45">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7">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x14ac:dyDescent="0.45">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7">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x14ac:dyDescent="0.45">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7">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x14ac:dyDescent="0.45">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7">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x14ac:dyDescent="0.45">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7">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x14ac:dyDescent="0.45">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7">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x14ac:dyDescent="0.45">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7">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x14ac:dyDescent="0.45">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7">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x14ac:dyDescent="0.45">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7">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x14ac:dyDescent="0.45">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7">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x14ac:dyDescent="0.45">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7">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x14ac:dyDescent="0.45">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7">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x14ac:dyDescent="0.45">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7">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x14ac:dyDescent="0.45">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7">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x14ac:dyDescent="0.45">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7">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x14ac:dyDescent="0.45">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7">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x14ac:dyDescent="0.45">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7">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x14ac:dyDescent="0.45">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7">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x14ac:dyDescent="0.45">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7">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x14ac:dyDescent="0.45">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7">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x14ac:dyDescent="0.45">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7">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x14ac:dyDescent="0.45">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7">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x14ac:dyDescent="0.45">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7">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x14ac:dyDescent="0.45">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7">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x14ac:dyDescent="0.45">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7">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x14ac:dyDescent="0.45">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7">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x14ac:dyDescent="0.45">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7">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x14ac:dyDescent="0.45">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7">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x14ac:dyDescent="0.45">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7">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x14ac:dyDescent="0.45">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7">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x14ac:dyDescent="0.45">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7">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x14ac:dyDescent="0.45">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7">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x14ac:dyDescent="0.45">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7">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x14ac:dyDescent="0.45">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7">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x14ac:dyDescent="0.45">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7">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x14ac:dyDescent="0.45">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7">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x14ac:dyDescent="0.45">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7">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x14ac:dyDescent="0.45">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7">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x14ac:dyDescent="0.45">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7">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x14ac:dyDescent="0.45">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7">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x14ac:dyDescent="0.45">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7">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x14ac:dyDescent="0.45">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7">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x14ac:dyDescent="0.45">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7">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x14ac:dyDescent="0.45">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7">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x14ac:dyDescent="0.45">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7">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x14ac:dyDescent="0.45">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7">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x14ac:dyDescent="0.45">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7">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x14ac:dyDescent="0.45">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7">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x14ac:dyDescent="0.45">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7">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x14ac:dyDescent="0.45">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7">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x14ac:dyDescent="0.45">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7">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x14ac:dyDescent="0.45">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7">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x14ac:dyDescent="0.45">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7">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x14ac:dyDescent="0.45">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7">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x14ac:dyDescent="0.45">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7">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x14ac:dyDescent="0.45">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7">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x14ac:dyDescent="0.45">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7">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x14ac:dyDescent="0.45">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7">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x14ac:dyDescent="0.45">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7">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x14ac:dyDescent="0.45">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7">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x14ac:dyDescent="0.45">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7">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x14ac:dyDescent="0.45">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7">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x14ac:dyDescent="0.45">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7">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x14ac:dyDescent="0.45">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7">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x14ac:dyDescent="0.45">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7">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x14ac:dyDescent="0.45">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7">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x14ac:dyDescent="0.45">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7">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x14ac:dyDescent="0.45">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7">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x14ac:dyDescent="0.45">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7">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x14ac:dyDescent="0.45">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7">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x14ac:dyDescent="0.45">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7">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x14ac:dyDescent="0.45">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7">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x14ac:dyDescent="0.45">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7">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x14ac:dyDescent="0.45">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7">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x14ac:dyDescent="0.45">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7">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x14ac:dyDescent="0.45">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7">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x14ac:dyDescent="0.45">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7">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x14ac:dyDescent="0.45">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7">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x14ac:dyDescent="0.45">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7">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x14ac:dyDescent="0.45">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7">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x14ac:dyDescent="0.45">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7">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x14ac:dyDescent="0.45">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7">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x14ac:dyDescent="0.45">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7">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x14ac:dyDescent="0.45">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7">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x14ac:dyDescent="0.45">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7">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x14ac:dyDescent="0.45">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7">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x14ac:dyDescent="0.45">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7">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x14ac:dyDescent="0.45">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7">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x14ac:dyDescent="0.45">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7">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x14ac:dyDescent="0.45">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7">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x14ac:dyDescent="0.45">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7">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x14ac:dyDescent="0.45">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7">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x14ac:dyDescent="0.45">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7">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x14ac:dyDescent="0.45">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7">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x14ac:dyDescent="0.45">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7">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x14ac:dyDescent="0.45">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7">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x14ac:dyDescent="0.45">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7">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x14ac:dyDescent="0.45">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7">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x14ac:dyDescent="0.45">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7">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x14ac:dyDescent="0.45">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7">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x14ac:dyDescent="0.45">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7">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x14ac:dyDescent="0.45">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7">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x14ac:dyDescent="0.45">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7">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x14ac:dyDescent="0.45">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7">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x14ac:dyDescent="0.45">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7">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x14ac:dyDescent="0.45">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7">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x14ac:dyDescent="0.45">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7">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x14ac:dyDescent="0.45">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7">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x14ac:dyDescent="0.45">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7">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x14ac:dyDescent="0.45">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7">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x14ac:dyDescent="0.45">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7">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x14ac:dyDescent="0.45">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7">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x14ac:dyDescent="0.45">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7">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x14ac:dyDescent="0.45">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7">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x14ac:dyDescent="0.45">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7">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x14ac:dyDescent="0.45">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7">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x14ac:dyDescent="0.45">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7">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x14ac:dyDescent="0.45">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7">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x14ac:dyDescent="0.45">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7">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x14ac:dyDescent="0.45">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7">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x14ac:dyDescent="0.45">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7">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x14ac:dyDescent="0.45">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7">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x14ac:dyDescent="0.45">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7">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x14ac:dyDescent="0.45">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7">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x14ac:dyDescent="0.45">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7">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x14ac:dyDescent="0.45">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7">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x14ac:dyDescent="0.45">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7">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x14ac:dyDescent="0.45">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7">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x14ac:dyDescent="0.45">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7">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x14ac:dyDescent="0.45">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7">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x14ac:dyDescent="0.45">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7">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x14ac:dyDescent="0.45">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7">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x14ac:dyDescent="0.45">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7">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x14ac:dyDescent="0.45">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7">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x14ac:dyDescent="0.45">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7">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x14ac:dyDescent="0.45">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7">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x14ac:dyDescent="0.45">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7">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x14ac:dyDescent="0.45">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7">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x14ac:dyDescent="0.45">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7">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x14ac:dyDescent="0.45">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7">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x14ac:dyDescent="0.45">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7">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x14ac:dyDescent="0.45">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7">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x14ac:dyDescent="0.45">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7">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x14ac:dyDescent="0.45">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7">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x14ac:dyDescent="0.45">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7">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x14ac:dyDescent="0.45">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7">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x14ac:dyDescent="0.45">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7">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x14ac:dyDescent="0.45">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7">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x14ac:dyDescent="0.45">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7">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x14ac:dyDescent="0.45">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7">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x14ac:dyDescent="0.45">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7">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x14ac:dyDescent="0.45">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7">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x14ac:dyDescent="0.45">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7">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x14ac:dyDescent="0.45">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7">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x14ac:dyDescent="0.45">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7">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x14ac:dyDescent="0.45">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7">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x14ac:dyDescent="0.45">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7">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x14ac:dyDescent="0.45">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7">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x14ac:dyDescent="0.45">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7">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x14ac:dyDescent="0.45">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7">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x14ac:dyDescent="0.45">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7">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x14ac:dyDescent="0.45">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7">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x14ac:dyDescent="0.45">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7">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x14ac:dyDescent="0.45">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7">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x14ac:dyDescent="0.45">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7">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x14ac:dyDescent="0.45">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7">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x14ac:dyDescent="0.45">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7">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x14ac:dyDescent="0.45">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7">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x14ac:dyDescent="0.45">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7">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x14ac:dyDescent="0.45">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7">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x14ac:dyDescent="0.45">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7">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x14ac:dyDescent="0.45">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7">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x14ac:dyDescent="0.45">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7">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x14ac:dyDescent="0.45">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7">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x14ac:dyDescent="0.45">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7">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x14ac:dyDescent="0.45">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7">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x14ac:dyDescent="0.45">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7">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x14ac:dyDescent="0.45">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7">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x14ac:dyDescent="0.45">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7">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x14ac:dyDescent="0.45">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7">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x14ac:dyDescent="0.45">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7">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x14ac:dyDescent="0.45">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7">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x14ac:dyDescent="0.45">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7">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x14ac:dyDescent="0.45">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7">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x14ac:dyDescent="0.45">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7">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x14ac:dyDescent="0.45">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7">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x14ac:dyDescent="0.45">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7">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x14ac:dyDescent="0.45">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7">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x14ac:dyDescent="0.45">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7">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x14ac:dyDescent="0.45">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7">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x14ac:dyDescent="0.45">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7">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x14ac:dyDescent="0.45">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7">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x14ac:dyDescent="0.45">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7">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x14ac:dyDescent="0.45">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7">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x14ac:dyDescent="0.45">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7">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x14ac:dyDescent="0.45">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7">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x14ac:dyDescent="0.45">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7">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x14ac:dyDescent="0.45">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7">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x14ac:dyDescent="0.45">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7">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x14ac:dyDescent="0.45">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7">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x14ac:dyDescent="0.45">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7">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x14ac:dyDescent="0.45">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7">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x14ac:dyDescent="0.45">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7">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x14ac:dyDescent="0.45">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7">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x14ac:dyDescent="0.45">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7">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x14ac:dyDescent="0.45">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7">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x14ac:dyDescent="0.45">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7">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x14ac:dyDescent="0.45">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7">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x14ac:dyDescent="0.45">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7">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x14ac:dyDescent="0.45">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7">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x14ac:dyDescent="0.45">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7">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x14ac:dyDescent="0.45">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7">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x14ac:dyDescent="0.45">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7">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x14ac:dyDescent="0.45">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7">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x14ac:dyDescent="0.45">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7">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x14ac:dyDescent="0.45">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7">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x14ac:dyDescent="0.45">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7">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x14ac:dyDescent="0.45">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7">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x14ac:dyDescent="0.45">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7">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x14ac:dyDescent="0.45">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7">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x14ac:dyDescent="0.45">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7">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x14ac:dyDescent="0.45">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7">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x14ac:dyDescent="0.45">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7">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x14ac:dyDescent="0.45">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7">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x14ac:dyDescent="0.45">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7">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x14ac:dyDescent="0.45">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7">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x14ac:dyDescent="0.45">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7">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x14ac:dyDescent="0.45">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7">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x14ac:dyDescent="0.45">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7">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x14ac:dyDescent="0.45">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7">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x14ac:dyDescent="0.45">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7">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x14ac:dyDescent="0.45">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7">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x14ac:dyDescent="0.45">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7">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x14ac:dyDescent="0.45">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7">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x14ac:dyDescent="0.45">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7">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x14ac:dyDescent="0.45">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7">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x14ac:dyDescent="0.45">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7">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x14ac:dyDescent="0.45">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7">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x14ac:dyDescent="0.45">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7">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x14ac:dyDescent="0.45">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7">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x14ac:dyDescent="0.45">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7">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x14ac:dyDescent="0.45">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7">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x14ac:dyDescent="0.45">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7">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x14ac:dyDescent="0.45">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7">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x14ac:dyDescent="0.45">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7">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x14ac:dyDescent="0.45">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7">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x14ac:dyDescent="0.45">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7">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x14ac:dyDescent="0.45">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7">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x14ac:dyDescent="0.45">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7">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x14ac:dyDescent="0.45">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7">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x14ac:dyDescent="0.45">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7">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x14ac:dyDescent="0.45">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7">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x14ac:dyDescent="0.45">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7">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x14ac:dyDescent="0.45">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7">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x14ac:dyDescent="0.45">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7">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x14ac:dyDescent="0.45">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7">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x14ac:dyDescent="0.45">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7">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x14ac:dyDescent="0.45">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7">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x14ac:dyDescent="0.45">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7">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x14ac:dyDescent="0.45">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7">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x14ac:dyDescent="0.45">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7">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x14ac:dyDescent="0.45">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7">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x14ac:dyDescent="0.45">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7">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x14ac:dyDescent="0.45">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7">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x14ac:dyDescent="0.45">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7">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x14ac:dyDescent="0.45">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7">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x14ac:dyDescent="0.45">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7">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x14ac:dyDescent="0.45">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7">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x14ac:dyDescent="0.45">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7">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x14ac:dyDescent="0.45">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7">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x14ac:dyDescent="0.45">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7">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x14ac:dyDescent="0.45">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7">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x14ac:dyDescent="0.45">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7">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x14ac:dyDescent="0.45">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7">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x14ac:dyDescent="0.45">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7">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x14ac:dyDescent="0.45">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7">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x14ac:dyDescent="0.45">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7">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x14ac:dyDescent="0.45">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7">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x14ac:dyDescent="0.45">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7">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x14ac:dyDescent="0.45">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7">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x14ac:dyDescent="0.45">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7">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x14ac:dyDescent="0.45">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7">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x14ac:dyDescent="0.45">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7">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x14ac:dyDescent="0.45">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7">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x14ac:dyDescent="0.45">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7">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x14ac:dyDescent="0.45">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7">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x14ac:dyDescent="0.45">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7">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x14ac:dyDescent="0.45">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7">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x14ac:dyDescent="0.45">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7">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x14ac:dyDescent="0.45">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7">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x14ac:dyDescent="0.45">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7">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x14ac:dyDescent="0.45">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7">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x14ac:dyDescent="0.45">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7">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x14ac:dyDescent="0.45">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7">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x14ac:dyDescent="0.45">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7">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x14ac:dyDescent="0.45">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7">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x14ac:dyDescent="0.45">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7">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x14ac:dyDescent="0.45">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7">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x14ac:dyDescent="0.45">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7">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x14ac:dyDescent="0.45">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7">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x14ac:dyDescent="0.45">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7">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x14ac:dyDescent="0.45">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7">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x14ac:dyDescent="0.45">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7">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x14ac:dyDescent="0.45">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7">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x14ac:dyDescent="0.45">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7">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x14ac:dyDescent="0.45">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7">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x14ac:dyDescent="0.45">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7">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x14ac:dyDescent="0.45">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7">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x14ac:dyDescent="0.45">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7">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x14ac:dyDescent="0.45">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7">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x14ac:dyDescent="0.45">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7">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x14ac:dyDescent="0.45">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7">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x14ac:dyDescent="0.45">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7">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x14ac:dyDescent="0.45">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7">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x14ac:dyDescent="0.45">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7">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x14ac:dyDescent="0.45">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7">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x14ac:dyDescent="0.45">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7">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x14ac:dyDescent="0.45">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7">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x14ac:dyDescent="0.45">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7">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x14ac:dyDescent="0.45">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7">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x14ac:dyDescent="0.45">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7">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x14ac:dyDescent="0.45">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7">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x14ac:dyDescent="0.45">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7">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x14ac:dyDescent="0.45">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7">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x14ac:dyDescent="0.45">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7">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x14ac:dyDescent="0.45">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7">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x14ac:dyDescent="0.45">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7">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x14ac:dyDescent="0.45">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7">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x14ac:dyDescent="0.45">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7">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x14ac:dyDescent="0.45">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7">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x14ac:dyDescent="0.45">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7">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x14ac:dyDescent="0.45">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7">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x14ac:dyDescent="0.45">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7">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x14ac:dyDescent="0.45">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7">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x14ac:dyDescent="0.45">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7">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x14ac:dyDescent="0.45">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7">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x14ac:dyDescent="0.45">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7">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x14ac:dyDescent="0.45">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7">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x14ac:dyDescent="0.45">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7">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x14ac:dyDescent="0.45">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7">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x14ac:dyDescent="0.45">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7">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x14ac:dyDescent="0.45">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7">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x14ac:dyDescent="0.45">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7">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x14ac:dyDescent="0.45">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7">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x14ac:dyDescent="0.45">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7">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x14ac:dyDescent="0.45">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7">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x14ac:dyDescent="0.45">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7">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x14ac:dyDescent="0.45">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7">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x14ac:dyDescent="0.45">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7">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x14ac:dyDescent="0.45">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7">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x14ac:dyDescent="0.45">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7">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x14ac:dyDescent="0.45">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7">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x14ac:dyDescent="0.45">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7">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x14ac:dyDescent="0.45">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7">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x14ac:dyDescent="0.45">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7">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x14ac:dyDescent="0.45">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7">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x14ac:dyDescent="0.45">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7">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x14ac:dyDescent="0.45">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7">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x14ac:dyDescent="0.45">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7">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x14ac:dyDescent="0.45">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7">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x14ac:dyDescent="0.45">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7">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x14ac:dyDescent="0.45">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7">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x14ac:dyDescent="0.45">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7">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x14ac:dyDescent="0.45">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7">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x14ac:dyDescent="0.45">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7">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x14ac:dyDescent="0.45">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7">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x14ac:dyDescent="0.45">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7">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x14ac:dyDescent="0.45">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7">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x14ac:dyDescent="0.45">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7">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x14ac:dyDescent="0.45">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7">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x14ac:dyDescent="0.45">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7">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x14ac:dyDescent="0.45">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7">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x14ac:dyDescent="0.45">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7">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x14ac:dyDescent="0.45">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7">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x14ac:dyDescent="0.45">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7">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x14ac:dyDescent="0.45">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7">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x14ac:dyDescent="0.45">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7">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x14ac:dyDescent="0.45">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7">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x14ac:dyDescent="0.45">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7">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x14ac:dyDescent="0.45">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7">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x14ac:dyDescent="0.45">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7">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x14ac:dyDescent="0.45">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7">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x14ac:dyDescent="0.45">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7">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x14ac:dyDescent="0.45">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7">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x14ac:dyDescent="0.45">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7">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x14ac:dyDescent="0.45">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7">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x14ac:dyDescent="0.45">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7">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x14ac:dyDescent="0.45">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7">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x14ac:dyDescent="0.45">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7">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x14ac:dyDescent="0.45">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7">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x14ac:dyDescent="0.45">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7">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x14ac:dyDescent="0.45">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7">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x14ac:dyDescent="0.45">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7">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x14ac:dyDescent="0.45">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7">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x14ac:dyDescent="0.45">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7">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x14ac:dyDescent="0.45">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7">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x14ac:dyDescent="0.45">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7">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x14ac:dyDescent="0.45">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7">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x14ac:dyDescent="0.45">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7">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x14ac:dyDescent="0.45">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7">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x14ac:dyDescent="0.45">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7">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x14ac:dyDescent="0.45">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7">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x14ac:dyDescent="0.45">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7">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x14ac:dyDescent="0.45">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7">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x14ac:dyDescent="0.45">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7">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x14ac:dyDescent="0.45">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7">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x14ac:dyDescent="0.45">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7">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x14ac:dyDescent="0.45">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7">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x14ac:dyDescent="0.45">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7">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x14ac:dyDescent="0.45">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7">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x14ac:dyDescent="0.45">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7">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x14ac:dyDescent="0.45">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7">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x14ac:dyDescent="0.45">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7">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x14ac:dyDescent="0.45">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7">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x14ac:dyDescent="0.45">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7">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x14ac:dyDescent="0.45">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7">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x14ac:dyDescent="0.45">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7">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x14ac:dyDescent="0.45">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7">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x14ac:dyDescent="0.45">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7">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x14ac:dyDescent="0.45">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7">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x14ac:dyDescent="0.45">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7">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x14ac:dyDescent="0.45">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7">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x14ac:dyDescent="0.45">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7">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x14ac:dyDescent="0.45">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7">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x14ac:dyDescent="0.45">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7">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x14ac:dyDescent="0.45">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7">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x14ac:dyDescent="0.45">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7">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x14ac:dyDescent="0.45">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7">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x14ac:dyDescent="0.45">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7">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x14ac:dyDescent="0.45">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7">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x14ac:dyDescent="0.45">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7">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x14ac:dyDescent="0.45">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7">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x14ac:dyDescent="0.45">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7">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x14ac:dyDescent="0.45">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7">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x14ac:dyDescent="0.45">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7">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x14ac:dyDescent="0.45">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7">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x14ac:dyDescent="0.45">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7">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x14ac:dyDescent="0.45">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7">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x14ac:dyDescent="0.45">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7">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x14ac:dyDescent="0.45">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7">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x14ac:dyDescent="0.45">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7">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x14ac:dyDescent="0.45">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7">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x14ac:dyDescent="0.45">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7">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x14ac:dyDescent="0.45">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7">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x14ac:dyDescent="0.45">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7">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x14ac:dyDescent="0.45">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7">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x14ac:dyDescent="0.45">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7">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x14ac:dyDescent="0.45">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7">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x14ac:dyDescent="0.45">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7">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x14ac:dyDescent="0.45">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7">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x14ac:dyDescent="0.45">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7">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x14ac:dyDescent="0.45">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7">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x14ac:dyDescent="0.45">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7">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x14ac:dyDescent="0.45">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7">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x14ac:dyDescent="0.45">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7">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x14ac:dyDescent="0.45">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7">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x14ac:dyDescent="0.45">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7">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x14ac:dyDescent="0.45">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7">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x14ac:dyDescent="0.45">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7">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x14ac:dyDescent="0.45">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7">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x14ac:dyDescent="0.45">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7">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x14ac:dyDescent="0.45">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7">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x14ac:dyDescent="0.45">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7">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x14ac:dyDescent="0.45">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7">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x14ac:dyDescent="0.45">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7">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x14ac:dyDescent="0.45">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7">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x14ac:dyDescent="0.45">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7">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x14ac:dyDescent="0.45">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7">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x14ac:dyDescent="0.45">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7">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x14ac:dyDescent="0.45">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7">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x14ac:dyDescent="0.45">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7">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x14ac:dyDescent="0.45">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7">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x14ac:dyDescent="0.45">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7">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x14ac:dyDescent="0.45">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7">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x14ac:dyDescent="0.45">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7">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x14ac:dyDescent="0.45">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7">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x14ac:dyDescent="0.45">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7">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x14ac:dyDescent="0.45">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7">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x14ac:dyDescent="0.45">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7">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x14ac:dyDescent="0.45">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7">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x14ac:dyDescent="0.45">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7">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x14ac:dyDescent="0.45">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7">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x14ac:dyDescent="0.45">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7">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x14ac:dyDescent="0.45">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7">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x14ac:dyDescent="0.45">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7">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x14ac:dyDescent="0.45">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7">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x14ac:dyDescent="0.45">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7">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x14ac:dyDescent="0.45">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7">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x14ac:dyDescent="0.45">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7">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x14ac:dyDescent="0.45">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7">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x14ac:dyDescent="0.45">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7">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x14ac:dyDescent="0.45">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7">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x14ac:dyDescent="0.45">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7">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x14ac:dyDescent="0.45">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7">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x14ac:dyDescent="0.45">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7">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x14ac:dyDescent="0.45">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7">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x14ac:dyDescent="0.45">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7">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x14ac:dyDescent="0.45">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7">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x14ac:dyDescent="0.45">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7">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x14ac:dyDescent="0.45">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7">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x14ac:dyDescent="0.45">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7">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x14ac:dyDescent="0.45">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7">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x14ac:dyDescent="0.45">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7">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x14ac:dyDescent="0.45">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7">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x14ac:dyDescent="0.45">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7">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x14ac:dyDescent="0.45">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7">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x14ac:dyDescent="0.45">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7">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x14ac:dyDescent="0.45">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7">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x14ac:dyDescent="0.45">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7">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x14ac:dyDescent="0.45">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7">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x14ac:dyDescent="0.45">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7">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x14ac:dyDescent="0.45">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7">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x14ac:dyDescent="0.45">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7">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x14ac:dyDescent="0.45">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7">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x14ac:dyDescent="0.45">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7">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x14ac:dyDescent="0.45">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7">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x14ac:dyDescent="0.45">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7">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x14ac:dyDescent="0.45">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7">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x14ac:dyDescent="0.45">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7">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x14ac:dyDescent="0.45">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7">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x14ac:dyDescent="0.45">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7">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x14ac:dyDescent="0.45">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7">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x14ac:dyDescent="0.45">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7">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x14ac:dyDescent="0.45">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7">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x14ac:dyDescent="0.45">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7">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x14ac:dyDescent="0.45">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7">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x14ac:dyDescent="0.45">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7">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x14ac:dyDescent="0.45">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7">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x14ac:dyDescent="0.45">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7">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x14ac:dyDescent="0.45">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7">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x14ac:dyDescent="0.45">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7">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x14ac:dyDescent="0.45">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7">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x14ac:dyDescent="0.45">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7">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x14ac:dyDescent="0.45">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7">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x14ac:dyDescent="0.45">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7">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x14ac:dyDescent="0.45">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7">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x14ac:dyDescent="0.45">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7">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x14ac:dyDescent="0.45">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7">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x14ac:dyDescent="0.45">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7">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x14ac:dyDescent="0.45">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7">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x14ac:dyDescent="0.45">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7">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x14ac:dyDescent="0.45">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7">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x14ac:dyDescent="0.45">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7">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x14ac:dyDescent="0.45">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7">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x14ac:dyDescent="0.45">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7">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x14ac:dyDescent="0.45">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7">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x14ac:dyDescent="0.45">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7">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x14ac:dyDescent="0.45">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7">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x14ac:dyDescent="0.45">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7">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x14ac:dyDescent="0.45">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7">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x14ac:dyDescent="0.45">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7">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x14ac:dyDescent="0.45">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7">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x14ac:dyDescent="0.45">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7">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x14ac:dyDescent="0.45">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7">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x14ac:dyDescent="0.45">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7">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x14ac:dyDescent="0.45">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7">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x14ac:dyDescent="0.45">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7">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x14ac:dyDescent="0.45">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7">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x14ac:dyDescent="0.45">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7">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x14ac:dyDescent="0.45">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7">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x14ac:dyDescent="0.45">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7">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x14ac:dyDescent="0.45">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7">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x14ac:dyDescent="0.45">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7">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x14ac:dyDescent="0.45">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7">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x14ac:dyDescent="0.45">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7">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x14ac:dyDescent="0.45">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7">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x14ac:dyDescent="0.45">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7">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x14ac:dyDescent="0.45">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7">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x14ac:dyDescent="0.45">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7">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x14ac:dyDescent="0.45">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7">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x14ac:dyDescent="0.45">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7">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x14ac:dyDescent="0.45">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7">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x14ac:dyDescent="0.45">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7">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x14ac:dyDescent="0.45">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7">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x14ac:dyDescent="0.45">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7">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x14ac:dyDescent="0.45">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7">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x14ac:dyDescent="0.45">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7">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x14ac:dyDescent="0.45">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7">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x14ac:dyDescent="0.45">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7">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x14ac:dyDescent="0.45">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7">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x14ac:dyDescent="0.45">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7">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x14ac:dyDescent="0.45">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7">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x14ac:dyDescent="0.45">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7">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x14ac:dyDescent="0.45">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7">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x14ac:dyDescent="0.45">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7">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x14ac:dyDescent="0.45">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7">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x14ac:dyDescent="0.45">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7">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x14ac:dyDescent="0.45">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7">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x14ac:dyDescent="0.45">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7">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x14ac:dyDescent="0.45">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7">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x14ac:dyDescent="0.45">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7">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x14ac:dyDescent="0.45">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7">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x14ac:dyDescent="0.45">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7">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x14ac:dyDescent="0.45">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7">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x14ac:dyDescent="0.45">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7">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x14ac:dyDescent="0.45">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7">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x14ac:dyDescent="0.45">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7">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x14ac:dyDescent="0.45">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7">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x14ac:dyDescent="0.45">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7">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x14ac:dyDescent="0.45">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7">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x14ac:dyDescent="0.45">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7">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x14ac:dyDescent="0.45">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7">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x14ac:dyDescent="0.45">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7">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x14ac:dyDescent="0.45">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7">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x14ac:dyDescent="0.45">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7">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x14ac:dyDescent="0.45">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7">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x14ac:dyDescent="0.45">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7">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x14ac:dyDescent="0.45">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7">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x14ac:dyDescent="0.45">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7">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x14ac:dyDescent="0.45">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7">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x14ac:dyDescent="0.45">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7">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x14ac:dyDescent="0.45">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7">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x14ac:dyDescent="0.45">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7">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x14ac:dyDescent="0.45">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7">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x14ac:dyDescent="0.45">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7">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x14ac:dyDescent="0.45">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7">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x14ac:dyDescent="0.45">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7">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x14ac:dyDescent="0.45">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7">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x14ac:dyDescent="0.45">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7">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x14ac:dyDescent="0.45">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7">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x14ac:dyDescent="0.45">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7">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x14ac:dyDescent="0.45">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7">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x14ac:dyDescent="0.45">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7">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x14ac:dyDescent="0.45">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7">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x14ac:dyDescent="0.45">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7">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x14ac:dyDescent="0.45">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7">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x14ac:dyDescent="0.45">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7">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x14ac:dyDescent="0.45">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7">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x14ac:dyDescent="0.45">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7">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x14ac:dyDescent="0.45">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7">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x14ac:dyDescent="0.45">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7">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x14ac:dyDescent="0.45">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7">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x14ac:dyDescent="0.45">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7">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x14ac:dyDescent="0.45">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7">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x14ac:dyDescent="0.45">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7">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x14ac:dyDescent="0.45">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7">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x14ac:dyDescent="0.45">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7">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x14ac:dyDescent="0.45">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7">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x14ac:dyDescent="0.45">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7">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x14ac:dyDescent="0.45">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7">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x14ac:dyDescent="0.45">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7">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x14ac:dyDescent="0.45">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7">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x14ac:dyDescent="0.45">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7">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x14ac:dyDescent="0.45">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7">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x14ac:dyDescent="0.45">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7">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x14ac:dyDescent="0.45">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7">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x14ac:dyDescent="0.45">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7">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x14ac:dyDescent="0.45">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7">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x14ac:dyDescent="0.45">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7">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x14ac:dyDescent="0.45">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7">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x14ac:dyDescent="0.45">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7">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x14ac:dyDescent="0.45">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7">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x14ac:dyDescent="0.45">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7">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x14ac:dyDescent="0.45">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7">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x14ac:dyDescent="0.45">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7">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x14ac:dyDescent="0.45">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7">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x14ac:dyDescent="0.45">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7">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x14ac:dyDescent="0.45">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7">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x14ac:dyDescent="0.45">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7">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x14ac:dyDescent="0.45">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7">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x14ac:dyDescent="0.45">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7">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x14ac:dyDescent="0.45">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7">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x14ac:dyDescent="0.45">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7">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x14ac:dyDescent="0.45">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7">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x14ac:dyDescent="0.45">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7">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x14ac:dyDescent="0.45">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7">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x14ac:dyDescent="0.45">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7">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x14ac:dyDescent="0.45">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7">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x14ac:dyDescent="0.45">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7">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x14ac:dyDescent="0.45">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7">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x14ac:dyDescent="0.45">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7">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x14ac:dyDescent="0.45">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7">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x14ac:dyDescent="0.45">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7">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x14ac:dyDescent="0.45">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7">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x14ac:dyDescent="0.45">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7">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x14ac:dyDescent="0.45">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7">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x14ac:dyDescent="0.45">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7">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x14ac:dyDescent="0.45">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7">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x14ac:dyDescent="0.45">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7">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x14ac:dyDescent="0.45">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7">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x14ac:dyDescent="0.45">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7">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x14ac:dyDescent="0.45">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7">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x14ac:dyDescent="0.45">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7">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x14ac:dyDescent="0.45">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7">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x14ac:dyDescent="0.45">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7">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x14ac:dyDescent="0.45">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7">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x14ac:dyDescent="0.45">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7">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x14ac:dyDescent="0.45">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7">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x14ac:dyDescent="0.45">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7">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x14ac:dyDescent="0.45">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7">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x14ac:dyDescent="0.45">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7">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x14ac:dyDescent="0.45">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7">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x14ac:dyDescent="0.45">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7">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x14ac:dyDescent="0.45">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7">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x14ac:dyDescent="0.45">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7">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x14ac:dyDescent="0.45">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7">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x14ac:dyDescent="0.45">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7">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x14ac:dyDescent="0.45">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7">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x14ac:dyDescent="0.45">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7">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x14ac:dyDescent="0.45">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7">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x14ac:dyDescent="0.45">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7">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x14ac:dyDescent="0.45">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7">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x14ac:dyDescent="0.45">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7">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x14ac:dyDescent="0.45">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7">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x14ac:dyDescent="0.45">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7">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x14ac:dyDescent="0.45">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7">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x14ac:dyDescent="0.45">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7">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x14ac:dyDescent="0.45">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7">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x14ac:dyDescent="0.45">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7">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x14ac:dyDescent="0.45">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7">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x14ac:dyDescent="0.45">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7">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x14ac:dyDescent="0.45">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7">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x14ac:dyDescent="0.45">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7">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x14ac:dyDescent="0.45">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7">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x14ac:dyDescent="0.45">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7">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x14ac:dyDescent="0.45">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7">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x14ac:dyDescent="0.45">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7">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x14ac:dyDescent="0.45">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7">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x14ac:dyDescent="0.45">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7">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x14ac:dyDescent="0.45">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7">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x14ac:dyDescent="0.45">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7">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x14ac:dyDescent="0.45">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7">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x14ac:dyDescent="0.45">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7">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x14ac:dyDescent="0.45">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7">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x14ac:dyDescent="0.45">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7">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x14ac:dyDescent="0.45">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7">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x14ac:dyDescent="0.45">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7">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x14ac:dyDescent="0.45">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7">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x14ac:dyDescent="0.45">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7">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x14ac:dyDescent="0.45">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7">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x14ac:dyDescent="0.45">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7">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x14ac:dyDescent="0.45">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7">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x14ac:dyDescent="0.45">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7">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x14ac:dyDescent="0.45">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7">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x14ac:dyDescent="0.45">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7">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x14ac:dyDescent="0.45">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7">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x14ac:dyDescent="0.45">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7">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x14ac:dyDescent="0.45">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7">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x14ac:dyDescent="0.45">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7">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x14ac:dyDescent="0.45">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7">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x14ac:dyDescent="0.45">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7">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x14ac:dyDescent="0.45">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7">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x14ac:dyDescent="0.45">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7">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x14ac:dyDescent="0.45">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7">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x14ac:dyDescent="0.45">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7">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x14ac:dyDescent="0.45">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7">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x14ac:dyDescent="0.45">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7">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x14ac:dyDescent="0.45">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7">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x14ac:dyDescent="0.45">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7">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x14ac:dyDescent="0.45">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7">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x14ac:dyDescent="0.45">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7">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x14ac:dyDescent="0.45">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7">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x14ac:dyDescent="0.45">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7">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x14ac:dyDescent="0.45">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7">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x14ac:dyDescent="0.45">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7">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x14ac:dyDescent="0.45">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7">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x14ac:dyDescent="0.45">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7">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x14ac:dyDescent="0.45">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7">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x14ac:dyDescent="0.45">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7">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x14ac:dyDescent="0.45">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7">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x14ac:dyDescent="0.45">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7">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x14ac:dyDescent="0.45">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7">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x14ac:dyDescent="0.45">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7">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x14ac:dyDescent="0.45">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7">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x14ac:dyDescent="0.45">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7">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x14ac:dyDescent="0.45">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7">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x14ac:dyDescent="0.45">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7">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x14ac:dyDescent="0.45">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7">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x14ac:dyDescent="0.45">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7">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x14ac:dyDescent="0.45">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7">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x14ac:dyDescent="0.45">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7">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x14ac:dyDescent="0.45">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7">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x14ac:dyDescent="0.45">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7">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x14ac:dyDescent="0.45">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7">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x14ac:dyDescent="0.45">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7">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x14ac:dyDescent="0.45">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7">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x14ac:dyDescent="0.45">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7">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x14ac:dyDescent="0.45">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7">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x14ac:dyDescent="0.45">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7">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x14ac:dyDescent="0.45">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7">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x14ac:dyDescent="0.45">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7">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x14ac:dyDescent="0.45">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7">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x14ac:dyDescent="0.45">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7">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x14ac:dyDescent="0.45">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7">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x14ac:dyDescent="0.45">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7">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x14ac:dyDescent="0.45">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7">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x14ac:dyDescent="0.45">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7">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x14ac:dyDescent="0.45">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7">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x14ac:dyDescent="0.45">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7">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x14ac:dyDescent="0.45">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7">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x14ac:dyDescent="0.45">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7">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x14ac:dyDescent="0.45">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7">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x14ac:dyDescent="0.45">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7">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x14ac:dyDescent="0.45">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7">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x14ac:dyDescent="0.45">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7">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x14ac:dyDescent="0.45">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7">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x14ac:dyDescent="0.45">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7">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x14ac:dyDescent="0.45">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7">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x14ac:dyDescent="0.45">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7">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x14ac:dyDescent="0.45">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7">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x14ac:dyDescent="0.45">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7">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x14ac:dyDescent="0.45">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7">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x14ac:dyDescent="0.45">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7">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x14ac:dyDescent="0.45">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7">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x14ac:dyDescent="0.45">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7">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x14ac:dyDescent="0.45">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7">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x14ac:dyDescent="0.45">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7">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x14ac:dyDescent="0.45">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7">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x14ac:dyDescent="0.45">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7">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x14ac:dyDescent="0.45">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7">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x14ac:dyDescent="0.45">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7">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x14ac:dyDescent="0.45">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7">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x14ac:dyDescent="0.45">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7">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x14ac:dyDescent="0.45">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7">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x14ac:dyDescent="0.45">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7">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x14ac:dyDescent="0.45">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7">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x14ac:dyDescent="0.45">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7">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x14ac:dyDescent="0.45">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7">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x14ac:dyDescent="0.45">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7">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x14ac:dyDescent="0.45">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7">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x14ac:dyDescent="0.45">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7">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x14ac:dyDescent="0.45">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7">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x14ac:dyDescent="0.45">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7">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x14ac:dyDescent="0.45">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7">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x14ac:dyDescent="0.45">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7">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x14ac:dyDescent="0.45">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7">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x14ac:dyDescent="0.45">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7">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x14ac:dyDescent="0.45">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7">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x14ac:dyDescent="0.45">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7">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x14ac:dyDescent="0.45">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7">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x14ac:dyDescent="0.45">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7">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x14ac:dyDescent="0.45">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7">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x14ac:dyDescent="0.45">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7">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x14ac:dyDescent="0.45">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7">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x14ac:dyDescent="0.45">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7">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x14ac:dyDescent="0.45">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7">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x14ac:dyDescent="0.45">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7">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x14ac:dyDescent="0.45">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7">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x14ac:dyDescent="0.45">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7">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x14ac:dyDescent="0.45">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7">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x14ac:dyDescent="0.45">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7">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x14ac:dyDescent="0.45">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7">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x14ac:dyDescent="0.45">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7">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x14ac:dyDescent="0.45">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7">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x14ac:dyDescent="0.45">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7">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x14ac:dyDescent="0.45">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7">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x14ac:dyDescent="0.45">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7">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x14ac:dyDescent="0.45">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7">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x14ac:dyDescent="0.45">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7">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x14ac:dyDescent="0.45">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7">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x14ac:dyDescent="0.45">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7">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x14ac:dyDescent="0.45">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7">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x14ac:dyDescent="0.45">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7">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x14ac:dyDescent="0.45">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7">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x14ac:dyDescent="0.45">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7">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x14ac:dyDescent="0.45">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7">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x14ac:dyDescent="0.45">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7">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x14ac:dyDescent="0.45">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7">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x14ac:dyDescent="0.45">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7">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x14ac:dyDescent="0.45">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7">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x14ac:dyDescent="0.45">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7">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x14ac:dyDescent="0.45">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7">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x14ac:dyDescent="0.45">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7">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x14ac:dyDescent="0.45">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7">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x14ac:dyDescent="0.45">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7">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x14ac:dyDescent="0.45">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7">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x14ac:dyDescent="0.45">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7">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x14ac:dyDescent="0.45">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7">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x14ac:dyDescent="0.45">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7">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x14ac:dyDescent="0.45">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7">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x14ac:dyDescent="0.45">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7">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x14ac:dyDescent="0.45">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7">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x14ac:dyDescent="0.45">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7">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x14ac:dyDescent="0.45">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7">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x14ac:dyDescent="0.45">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7">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x14ac:dyDescent="0.45">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7">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x14ac:dyDescent="0.45">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7">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x14ac:dyDescent="0.45">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7">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x14ac:dyDescent="0.45">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7">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x14ac:dyDescent="0.45">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7">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x14ac:dyDescent="0.45">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7">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x14ac:dyDescent="0.45">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7">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x14ac:dyDescent="0.45">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7">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x14ac:dyDescent="0.45">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7">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x14ac:dyDescent="0.45">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7">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x14ac:dyDescent="0.45">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7">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x14ac:dyDescent="0.45">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7">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x14ac:dyDescent="0.45">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7">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x14ac:dyDescent="0.45">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7">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x14ac:dyDescent="0.45">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7">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x14ac:dyDescent="0.45">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7">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x14ac:dyDescent="0.45">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7">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x14ac:dyDescent="0.45">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7">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x14ac:dyDescent="0.45">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7">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x14ac:dyDescent="0.45">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7">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x14ac:dyDescent="0.45">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7">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x14ac:dyDescent="0.45">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7">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x14ac:dyDescent="0.45">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7">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x14ac:dyDescent="0.45">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7">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x14ac:dyDescent="0.45">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7">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x14ac:dyDescent="0.45">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7">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x14ac:dyDescent="0.45">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7">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x14ac:dyDescent="0.45">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7">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x14ac:dyDescent="0.45">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7">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x14ac:dyDescent="0.45">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7">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x14ac:dyDescent="0.45">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7">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x14ac:dyDescent="0.45">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7">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x14ac:dyDescent="0.45">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7">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x14ac:dyDescent="0.45">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7">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x14ac:dyDescent="0.45">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7">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x14ac:dyDescent="0.45">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7">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x14ac:dyDescent="0.45">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7">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x14ac:dyDescent="0.45">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7">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x14ac:dyDescent="0.45">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7">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x14ac:dyDescent="0.45">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7">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x14ac:dyDescent="0.45">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7">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x14ac:dyDescent="0.45">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7">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x14ac:dyDescent="0.45">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7">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x14ac:dyDescent="0.45">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7">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x14ac:dyDescent="0.45">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7">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x14ac:dyDescent="0.45">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7">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x14ac:dyDescent="0.45">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7">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x14ac:dyDescent="0.45">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7">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x14ac:dyDescent="0.45">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7">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x14ac:dyDescent="0.45">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7">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x14ac:dyDescent="0.45">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7">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x14ac:dyDescent="0.45">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7">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x14ac:dyDescent="0.45">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7">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x14ac:dyDescent="0.45">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7">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x14ac:dyDescent="0.45">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7">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x14ac:dyDescent="0.45">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7">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x14ac:dyDescent="0.45">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7">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x14ac:dyDescent="0.45">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7">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x14ac:dyDescent="0.45">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7">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x14ac:dyDescent="0.45">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7">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x14ac:dyDescent="0.45">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7">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x14ac:dyDescent="0.45">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7">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x14ac:dyDescent="0.45">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7">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x14ac:dyDescent="0.45">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7">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x14ac:dyDescent="0.45">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7">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x14ac:dyDescent="0.45">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7">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x14ac:dyDescent="0.45">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7">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x14ac:dyDescent="0.45">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7">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x14ac:dyDescent="0.45">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7">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x14ac:dyDescent="0.45">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7">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x14ac:dyDescent="0.45">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7">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x14ac:dyDescent="0.45">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7">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x14ac:dyDescent="0.45">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7">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x14ac:dyDescent="0.45">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7">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x14ac:dyDescent="0.45">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7">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x14ac:dyDescent="0.45">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7">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x14ac:dyDescent="0.45">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7">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x14ac:dyDescent="0.45">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7">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x14ac:dyDescent="0.45">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7">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x14ac:dyDescent="0.45">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7">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x14ac:dyDescent="0.45">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7">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x14ac:dyDescent="0.45">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7">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x14ac:dyDescent="0.45">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7">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x14ac:dyDescent="0.45">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7">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x14ac:dyDescent="0.45">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7">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x14ac:dyDescent="0.45">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7">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x14ac:dyDescent="0.45">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7">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x14ac:dyDescent="0.45">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7">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x14ac:dyDescent="0.45">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7">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x14ac:dyDescent="0.45">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7">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x14ac:dyDescent="0.45">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7">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x14ac:dyDescent="0.45">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7">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x14ac:dyDescent="0.45">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7">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x14ac:dyDescent="0.45">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7">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x14ac:dyDescent="0.45">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7">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x14ac:dyDescent="0.45">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7">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x14ac:dyDescent="0.45">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7">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x14ac:dyDescent="0.45">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7">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x14ac:dyDescent="0.45">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7">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x14ac:dyDescent="0.45">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7">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x14ac:dyDescent="0.45">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7">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x14ac:dyDescent="0.45">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7">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x14ac:dyDescent="0.45">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7">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x14ac:dyDescent="0.45">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7">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x14ac:dyDescent="0.45">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7">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x14ac:dyDescent="0.45">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7">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x14ac:dyDescent="0.45">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7">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x14ac:dyDescent="0.45">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7">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x14ac:dyDescent="0.45">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7">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x14ac:dyDescent="0.45">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7">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x14ac:dyDescent="0.45">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7">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x14ac:dyDescent="0.45">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7">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x14ac:dyDescent="0.45">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7">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x14ac:dyDescent="0.45">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7">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x14ac:dyDescent="0.45">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7">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x14ac:dyDescent="0.45">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7">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x14ac:dyDescent="0.45">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7">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x14ac:dyDescent="0.45">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7">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x14ac:dyDescent="0.45">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7">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x14ac:dyDescent="0.45">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7">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x14ac:dyDescent="0.45">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7">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x14ac:dyDescent="0.45">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7">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x14ac:dyDescent="0.45">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7">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x14ac:dyDescent="0.45">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7">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x14ac:dyDescent="0.45">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7">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x14ac:dyDescent="0.45">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7">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x14ac:dyDescent="0.45">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7">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x14ac:dyDescent="0.45">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7">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x14ac:dyDescent="0.45">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7">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x14ac:dyDescent="0.45">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7">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x14ac:dyDescent="0.45">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7">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x14ac:dyDescent="0.45">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7">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x14ac:dyDescent="0.45">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7">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x14ac:dyDescent="0.45">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7">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x14ac:dyDescent="0.45">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7">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x14ac:dyDescent="0.45">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7">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x14ac:dyDescent="0.45">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7">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x14ac:dyDescent="0.45">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7">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x14ac:dyDescent="0.45">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7">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x14ac:dyDescent="0.45">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7">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x14ac:dyDescent="0.45">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7">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x14ac:dyDescent="0.45">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7">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x14ac:dyDescent="0.45">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7">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x14ac:dyDescent="0.45">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7">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x14ac:dyDescent="0.45">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7">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x14ac:dyDescent="0.45">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7">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x14ac:dyDescent="0.45">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7">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x14ac:dyDescent="0.45">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7">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x14ac:dyDescent="0.45">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7">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x14ac:dyDescent="0.45">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7">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x14ac:dyDescent="0.45">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7">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x14ac:dyDescent="0.45">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7">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x14ac:dyDescent="0.45">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7">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x14ac:dyDescent="0.45">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7">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x14ac:dyDescent="0.45">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7">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x14ac:dyDescent="0.45">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7">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x14ac:dyDescent="0.45">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7">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x14ac:dyDescent="0.45">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7">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x14ac:dyDescent="0.45">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7">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x14ac:dyDescent="0.45">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7">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x14ac:dyDescent="0.45">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7">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x14ac:dyDescent="0.45">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7">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x14ac:dyDescent="0.45">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7">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x14ac:dyDescent="0.45">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7">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x14ac:dyDescent="0.45">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7">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x14ac:dyDescent="0.45">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7">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x14ac:dyDescent="0.45">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7">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x14ac:dyDescent="0.45">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7">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x14ac:dyDescent="0.45">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7">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x14ac:dyDescent="0.45">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7">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x14ac:dyDescent="0.45">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7">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x14ac:dyDescent="0.45">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7">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x14ac:dyDescent="0.45">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7">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x14ac:dyDescent="0.45">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7">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x14ac:dyDescent="0.45">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7">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x14ac:dyDescent="0.45">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7">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x14ac:dyDescent="0.45">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7">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x14ac:dyDescent="0.45">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7">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x14ac:dyDescent="0.45">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7">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x14ac:dyDescent="0.45">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7">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x14ac:dyDescent="0.45">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7">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x14ac:dyDescent="0.45">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7">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x14ac:dyDescent="0.45">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7">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x14ac:dyDescent="0.45">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7">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x14ac:dyDescent="0.45">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7">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x14ac:dyDescent="0.45">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7">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x14ac:dyDescent="0.45">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7">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x14ac:dyDescent="0.45">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7">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x14ac:dyDescent="0.45">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7">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x14ac:dyDescent="0.45">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7">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x14ac:dyDescent="0.45">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7">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x14ac:dyDescent="0.45">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7">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x14ac:dyDescent="0.45">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7">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x14ac:dyDescent="0.45">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7">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x14ac:dyDescent="0.45">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7">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x14ac:dyDescent="0.45">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7">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x14ac:dyDescent="0.45">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7">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x14ac:dyDescent="0.45">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7">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x14ac:dyDescent="0.45">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7">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x14ac:dyDescent="0.45">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7">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x14ac:dyDescent="0.45">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7">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x14ac:dyDescent="0.45">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7">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x14ac:dyDescent="0.45">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7">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x14ac:dyDescent="0.45">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7">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x14ac:dyDescent="0.45">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7">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x14ac:dyDescent="0.45">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7">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x14ac:dyDescent="0.45">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7">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x14ac:dyDescent="0.45">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7">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x14ac:dyDescent="0.45">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7">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x14ac:dyDescent="0.45">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7">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x14ac:dyDescent="0.45">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7">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x14ac:dyDescent="0.45">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7">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x14ac:dyDescent="0.45">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7">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x14ac:dyDescent="0.45">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7">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x14ac:dyDescent="0.45">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7">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x14ac:dyDescent="0.45">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7">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x14ac:dyDescent="0.45">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7">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x14ac:dyDescent="0.45">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7">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x14ac:dyDescent="0.45">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7">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x14ac:dyDescent="0.45">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7">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x14ac:dyDescent="0.45">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7">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x14ac:dyDescent="0.45">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7">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x14ac:dyDescent="0.45">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7">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x14ac:dyDescent="0.45">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7">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x14ac:dyDescent="0.45">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7">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x14ac:dyDescent="0.45">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7">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x14ac:dyDescent="0.45">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7">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x14ac:dyDescent="0.45">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7">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x14ac:dyDescent="0.45">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7">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x14ac:dyDescent="0.45">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7">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x14ac:dyDescent="0.45">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7">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x14ac:dyDescent="0.45">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7">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x14ac:dyDescent="0.45">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7">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x14ac:dyDescent="0.45">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7">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x14ac:dyDescent="0.45">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7">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x14ac:dyDescent="0.45">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7">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x14ac:dyDescent="0.45">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7">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x14ac:dyDescent="0.45">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7">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x14ac:dyDescent="0.45">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7">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x14ac:dyDescent="0.45">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7">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x14ac:dyDescent="0.45">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7">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x14ac:dyDescent="0.45">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7">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x14ac:dyDescent="0.45">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7">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x14ac:dyDescent="0.45">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7">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x14ac:dyDescent="0.45">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7">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x14ac:dyDescent="0.45">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7">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x14ac:dyDescent="0.45">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7">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x14ac:dyDescent="0.45">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7">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x14ac:dyDescent="0.45">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7">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x14ac:dyDescent="0.45">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7">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x14ac:dyDescent="0.45">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7">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x14ac:dyDescent="0.45">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7">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x14ac:dyDescent="0.45">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7">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x14ac:dyDescent="0.45">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7">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x14ac:dyDescent="0.45">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7">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x14ac:dyDescent="0.45">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7">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x14ac:dyDescent="0.45">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7">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x14ac:dyDescent="0.45">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7">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x14ac:dyDescent="0.45">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7">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x14ac:dyDescent="0.45">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7">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x14ac:dyDescent="0.45">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7">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x14ac:dyDescent="0.45">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7">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x14ac:dyDescent="0.45">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7">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x14ac:dyDescent="0.45">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7">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x14ac:dyDescent="0.45">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7">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x14ac:dyDescent="0.45">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7">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x14ac:dyDescent="0.45">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7">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x14ac:dyDescent="0.45">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7">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x14ac:dyDescent="0.45">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7">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x14ac:dyDescent="0.45">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7">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x14ac:dyDescent="0.45">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7">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x14ac:dyDescent="0.45">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7">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x14ac:dyDescent="0.45">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7">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x14ac:dyDescent="0.45">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7">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x14ac:dyDescent="0.45">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7">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x14ac:dyDescent="0.45">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7">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x14ac:dyDescent="0.45">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7">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x14ac:dyDescent="0.45">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7">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x14ac:dyDescent="0.45">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7">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x14ac:dyDescent="0.45">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7">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x14ac:dyDescent="0.45">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7">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x14ac:dyDescent="0.45">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7">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x14ac:dyDescent="0.45">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7">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x14ac:dyDescent="0.45">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7">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x14ac:dyDescent="0.45">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7">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x14ac:dyDescent="0.45">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7">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x14ac:dyDescent="0.45">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7">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x14ac:dyDescent="0.45">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7">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x14ac:dyDescent="0.45">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7">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x14ac:dyDescent="0.45">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7">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x14ac:dyDescent="0.45">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7">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x14ac:dyDescent="0.45">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7">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x14ac:dyDescent="0.45">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7">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x14ac:dyDescent="0.45">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7">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x14ac:dyDescent="0.45">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7">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x14ac:dyDescent="0.45">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7">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x14ac:dyDescent="0.45">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7">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x14ac:dyDescent="0.45">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7">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x14ac:dyDescent="0.45">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7">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x14ac:dyDescent="0.45">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7">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x14ac:dyDescent="0.45">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7">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x14ac:dyDescent="0.45">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7">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x14ac:dyDescent="0.45">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7">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x14ac:dyDescent="0.45">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7">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x14ac:dyDescent="0.45">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7">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x14ac:dyDescent="0.45">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7">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x14ac:dyDescent="0.45">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7">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x14ac:dyDescent="0.45">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7">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x14ac:dyDescent="0.45">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7">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x14ac:dyDescent="0.45">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7">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x14ac:dyDescent="0.45">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7">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x14ac:dyDescent="0.45">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7">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x14ac:dyDescent="0.45">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7">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x14ac:dyDescent="0.45">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7">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x14ac:dyDescent="0.45">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7">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x14ac:dyDescent="0.45">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7">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x14ac:dyDescent="0.45">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7">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x14ac:dyDescent="0.45">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7">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x14ac:dyDescent="0.45">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7">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x14ac:dyDescent="0.45">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7">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x14ac:dyDescent="0.45">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7">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x14ac:dyDescent="0.45">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7">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x14ac:dyDescent="0.45">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7">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x14ac:dyDescent="0.45">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7">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x14ac:dyDescent="0.45">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7">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x14ac:dyDescent="0.45">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7">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x14ac:dyDescent="0.45">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7">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x14ac:dyDescent="0.45">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7">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x14ac:dyDescent="0.45">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7">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x14ac:dyDescent="0.45">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7">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x14ac:dyDescent="0.45">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7">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x14ac:dyDescent="0.45">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7">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x14ac:dyDescent="0.45">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7">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x14ac:dyDescent="0.45">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7">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x14ac:dyDescent="0.45">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7">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x14ac:dyDescent="0.45">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7">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x14ac:dyDescent="0.45">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7">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x14ac:dyDescent="0.45">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7">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x14ac:dyDescent="0.45">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7">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x14ac:dyDescent="0.45">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7">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x14ac:dyDescent="0.45">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7">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x14ac:dyDescent="0.45">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7">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x14ac:dyDescent="0.45">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7">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x14ac:dyDescent="0.45">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7">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x14ac:dyDescent="0.45">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7">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x14ac:dyDescent="0.45">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7">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x14ac:dyDescent="0.45">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7">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x14ac:dyDescent="0.45">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7">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x14ac:dyDescent="0.45">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7">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x14ac:dyDescent="0.45">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7">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x14ac:dyDescent="0.45">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7">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x14ac:dyDescent="0.45">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7">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x14ac:dyDescent="0.45">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7">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x14ac:dyDescent="0.45">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7">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x14ac:dyDescent="0.45">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7">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x14ac:dyDescent="0.45">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7">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x14ac:dyDescent="0.45">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7">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x14ac:dyDescent="0.45">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7">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x14ac:dyDescent="0.45">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7">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x14ac:dyDescent="0.45">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7">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x14ac:dyDescent="0.45">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7">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x14ac:dyDescent="0.45">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7">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x14ac:dyDescent="0.45">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7">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x14ac:dyDescent="0.45">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7">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x14ac:dyDescent="0.45">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7">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x14ac:dyDescent="0.45">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7">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x14ac:dyDescent="0.45">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7">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x14ac:dyDescent="0.45">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7">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x14ac:dyDescent="0.45">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7">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x14ac:dyDescent="0.45">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7">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x14ac:dyDescent="0.45">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7">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x14ac:dyDescent="0.45">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7">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x14ac:dyDescent="0.45">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7">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x14ac:dyDescent="0.45">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7">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x14ac:dyDescent="0.45">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7">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x14ac:dyDescent="0.45">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7">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x14ac:dyDescent="0.45">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7">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x14ac:dyDescent="0.45">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7">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x14ac:dyDescent="0.45">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7">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x14ac:dyDescent="0.45">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7">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x14ac:dyDescent="0.45">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7">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x14ac:dyDescent="0.45">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7">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x14ac:dyDescent="0.45">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7">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x14ac:dyDescent="0.45">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7">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x14ac:dyDescent="0.45">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7">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x14ac:dyDescent="0.45">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7">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x14ac:dyDescent="0.45">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7">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x14ac:dyDescent="0.45">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7">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x14ac:dyDescent="0.45">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7">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x14ac:dyDescent="0.45">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7">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x14ac:dyDescent="0.45">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7">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x14ac:dyDescent="0.45">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7">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x14ac:dyDescent="0.45">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7">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x14ac:dyDescent="0.45">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7">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x14ac:dyDescent="0.45">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7">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x14ac:dyDescent="0.45">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7">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x14ac:dyDescent="0.45">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7">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x14ac:dyDescent="0.45">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7">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x14ac:dyDescent="0.45">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7">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x14ac:dyDescent="0.45">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7">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x14ac:dyDescent="0.45">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7">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x14ac:dyDescent="0.45">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7">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x14ac:dyDescent="0.45">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7">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x14ac:dyDescent="0.45">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7">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x14ac:dyDescent="0.45">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7">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x14ac:dyDescent="0.45">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7">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x14ac:dyDescent="0.45">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7">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x14ac:dyDescent="0.45">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7">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x14ac:dyDescent="0.45">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7">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x14ac:dyDescent="0.45">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7">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x14ac:dyDescent="0.45">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7">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x14ac:dyDescent="0.45">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7">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x14ac:dyDescent="0.45">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7">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x14ac:dyDescent="0.45">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7">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x14ac:dyDescent="0.45">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7">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x14ac:dyDescent="0.45">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7">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x14ac:dyDescent="0.45">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7">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x14ac:dyDescent="0.45">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7">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x14ac:dyDescent="0.45">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7">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x14ac:dyDescent="0.45">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7">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x14ac:dyDescent="0.45">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7">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x14ac:dyDescent="0.45">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7">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x14ac:dyDescent="0.45">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7">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x14ac:dyDescent="0.45">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7">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x14ac:dyDescent="0.45">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7">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x14ac:dyDescent="0.45">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7">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x14ac:dyDescent="0.45">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7">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x14ac:dyDescent="0.45">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7">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x14ac:dyDescent="0.45">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7">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x14ac:dyDescent="0.45">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7">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x14ac:dyDescent="0.45">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7">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x14ac:dyDescent="0.45">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7">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x14ac:dyDescent="0.45">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7">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x14ac:dyDescent="0.45">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7">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x14ac:dyDescent="0.45">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7">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x14ac:dyDescent="0.45">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7">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x14ac:dyDescent="0.45">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7">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x14ac:dyDescent="0.45">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7">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x14ac:dyDescent="0.45">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7">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x14ac:dyDescent="0.45">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7">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x14ac:dyDescent="0.45">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7">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x14ac:dyDescent="0.45">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7">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x14ac:dyDescent="0.45">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7">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x14ac:dyDescent="0.45">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7">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x14ac:dyDescent="0.45">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7">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x14ac:dyDescent="0.45">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7">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x14ac:dyDescent="0.45">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7">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x14ac:dyDescent="0.45">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7">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x14ac:dyDescent="0.45">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7">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x14ac:dyDescent="0.45">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7">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x14ac:dyDescent="0.45">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7">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x14ac:dyDescent="0.45">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7">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x14ac:dyDescent="0.45">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7">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x14ac:dyDescent="0.45">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7">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x14ac:dyDescent="0.45">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7">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x14ac:dyDescent="0.45">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7">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x14ac:dyDescent="0.45">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7">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x14ac:dyDescent="0.45">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7">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x14ac:dyDescent="0.45">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7">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x14ac:dyDescent="0.45">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7">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x14ac:dyDescent="0.45">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7">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x14ac:dyDescent="0.45">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7">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x14ac:dyDescent="0.45">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7">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x14ac:dyDescent="0.45">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7">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x14ac:dyDescent="0.45">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7">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x14ac:dyDescent="0.45">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7">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x14ac:dyDescent="0.45">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7">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x14ac:dyDescent="0.45">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7">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x14ac:dyDescent="0.45">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7">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x14ac:dyDescent="0.45">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7">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x14ac:dyDescent="0.45">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7">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x14ac:dyDescent="0.45">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7">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x14ac:dyDescent="0.45">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7">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x14ac:dyDescent="0.45">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7">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x14ac:dyDescent="0.45">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7">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x14ac:dyDescent="0.45">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7">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x14ac:dyDescent="0.45">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7">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x14ac:dyDescent="0.45">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7">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x14ac:dyDescent="0.45">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7">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x14ac:dyDescent="0.45">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7">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x14ac:dyDescent="0.45">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7">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x14ac:dyDescent="0.45">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7">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x14ac:dyDescent="0.45">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7">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x14ac:dyDescent="0.45">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7">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x14ac:dyDescent="0.45">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7">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x14ac:dyDescent="0.45">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7">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x14ac:dyDescent="0.45">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7">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x14ac:dyDescent="0.45">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7">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x14ac:dyDescent="0.45">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7">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x14ac:dyDescent="0.45">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7">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x14ac:dyDescent="0.45">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7">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x14ac:dyDescent="0.45">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7">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x14ac:dyDescent="0.45">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7">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x14ac:dyDescent="0.45">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7">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x14ac:dyDescent="0.45">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7">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x14ac:dyDescent="0.45">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7">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x14ac:dyDescent="0.45">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7">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x14ac:dyDescent="0.45">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7">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x14ac:dyDescent="0.45">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7">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x14ac:dyDescent="0.45">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7">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x14ac:dyDescent="0.45">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7">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x14ac:dyDescent="0.45">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7">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x14ac:dyDescent="0.45">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7">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x14ac:dyDescent="0.45">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7">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x14ac:dyDescent="0.45">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7">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x14ac:dyDescent="0.45">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7">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x14ac:dyDescent="0.45">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7">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x14ac:dyDescent="0.45">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7">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x14ac:dyDescent="0.45">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7">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x14ac:dyDescent="0.45">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7">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x14ac:dyDescent="0.45">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7">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x14ac:dyDescent="0.45">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7">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x14ac:dyDescent="0.45">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7">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x14ac:dyDescent="0.45">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7">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x14ac:dyDescent="0.45">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7">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x14ac:dyDescent="0.45">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7">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x14ac:dyDescent="0.45">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7">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x14ac:dyDescent="0.45">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7">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x14ac:dyDescent="0.45">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7">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x14ac:dyDescent="0.45">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7">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x14ac:dyDescent="0.45">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7">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x14ac:dyDescent="0.45">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7">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x14ac:dyDescent="0.45">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7">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x14ac:dyDescent="0.45">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7">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x14ac:dyDescent="0.45">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7">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x14ac:dyDescent="0.45">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7">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x14ac:dyDescent="0.45">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7">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x14ac:dyDescent="0.45">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7">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x14ac:dyDescent="0.45">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7">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x14ac:dyDescent="0.45">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7">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x14ac:dyDescent="0.45">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7">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x14ac:dyDescent="0.45">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7">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x14ac:dyDescent="0.45">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7">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x14ac:dyDescent="0.45">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7">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x14ac:dyDescent="0.45">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7">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x14ac:dyDescent="0.45">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7">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x14ac:dyDescent="0.45">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7">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x14ac:dyDescent="0.45">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7">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x14ac:dyDescent="0.45">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7">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x14ac:dyDescent="0.45">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7">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x14ac:dyDescent="0.45">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7">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x14ac:dyDescent="0.45">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7">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x14ac:dyDescent="0.45">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7">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x14ac:dyDescent="0.45">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7">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x14ac:dyDescent="0.45">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7">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x14ac:dyDescent="0.45">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7">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x14ac:dyDescent="0.45">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7">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x14ac:dyDescent="0.45">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7">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x14ac:dyDescent="0.45">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7">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x14ac:dyDescent="0.45">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7">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x14ac:dyDescent="0.45">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7">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x14ac:dyDescent="0.45">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7">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x14ac:dyDescent="0.45">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7">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x14ac:dyDescent="0.45">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7">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x14ac:dyDescent="0.45">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7">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x14ac:dyDescent="0.45">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7">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x14ac:dyDescent="0.45">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7">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x14ac:dyDescent="0.45">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7">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x14ac:dyDescent="0.45">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7">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x14ac:dyDescent="0.45">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7">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x14ac:dyDescent="0.45">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7">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x14ac:dyDescent="0.45">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7">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x14ac:dyDescent="0.45">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7">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x14ac:dyDescent="0.45">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7">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x14ac:dyDescent="0.45">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7">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x14ac:dyDescent="0.45">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7">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x14ac:dyDescent="0.45">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7">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x14ac:dyDescent="0.45">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7">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x14ac:dyDescent="0.45">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7">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x14ac:dyDescent="0.45">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7">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x14ac:dyDescent="0.45">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7">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x14ac:dyDescent="0.45">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7">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x14ac:dyDescent="0.45">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7">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x14ac:dyDescent="0.45">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7">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x14ac:dyDescent="0.45">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7">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x14ac:dyDescent="0.45">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7">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x14ac:dyDescent="0.45">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7">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x14ac:dyDescent="0.45">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7">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x14ac:dyDescent="0.45">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7">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x14ac:dyDescent="0.45">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7">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x14ac:dyDescent="0.45">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7">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x14ac:dyDescent="0.45">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7">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x14ac:dyDescent="0.45">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7">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x14ac:dyDescent="0.45">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7">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x14ac:dyDescent="0.45">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7">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x14ac:dyDescent="0.45">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7">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x14ac:dyDescent="0.45">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7">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x14ac:dyDescent="0.45">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7">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x14ac:dyDescent="0.45">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7">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x14ac:dyDescent="0.45">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7">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x14ac:dyDescent="0.45">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7">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x14ac:dyDescent="0.45">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7">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x14ac:dyDescent="0.45">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7">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x14ac:dyDescent="0.45">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7">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x14ac:dyDescent="0.45">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7">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x14ac:dyDescent="0.45">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7">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x14ac:dyDescent="0.45">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7">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x14ac:dyDescent="0.45">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7">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x14ac:dyDescent="0.45">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7">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x14ac:dyDescent="0.45">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7">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x14ac:dyDescent="0.45">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7">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x14ac:dyDescent="0.45">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7">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x14ac:dyDescent="0.45">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7">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x14ac:dyDescent="0.45">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7">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x14ac:dyDescent="0.45">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7">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x14ac:dyDescent="0.45">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7">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x14ac:dyDescent="0.45">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7">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x14ac:dyDescent="0.45">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7">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x14ac:dyDescent="0.45">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7">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x14ac:dyDescent="0.45">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7">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x14ac:dyDescent="0.45">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7">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x14ac:dyDescent="0.45">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7">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x14ac:dyDescent="0.45">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7">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x14ac:dyDescent="0.45">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7">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x14ac:dyDescent="0.45">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7">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x14ac:dyDescent="0.45">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7">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x14ac:dyDescent="0.45">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7">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x14ac:dyDescent="0.45">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7">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x14ac:dyDescent="0.45">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7">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x14ac:dyDescent="0.45">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7">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x14ac:dyDescent="0.45">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7">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x14ac:dyDescent="0.45">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7">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x14ac:dyDescent="0.45">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7">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x14ac:dyDescent="0.45">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7">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x14ac:dyDescent="0.45">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7">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x14ac:dyDescent="0.45">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7">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x14ac:dyDescent="0.45">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7">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x14ac:dyDescent="0.45">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7">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x14ac:dyDescent="0.45">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7">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x14ac:dyDescent="0.45">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7">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x14ac:dyDescent="0.45">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7">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x14ac:dyDescent="0.45">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7">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x14ac:dyDescent="0.45">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7">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x14ac:dyDescent="0.45">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7">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x14ac:dyDescent="0.45">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7">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x14ac:dyDescent="0.45">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7">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x14ac:dyDescent="0.45">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7">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x14ac:dyDescent="0.45">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7">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x14ac:dyDescent="0.45">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7">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x14ac:dyDescent="0.45">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7">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x14ac:dyDescent="0.45">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7">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x14ac:dyDescent="0.45">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7">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x14ac:dyDescent="0.45">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7">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x14ac:dyDescent="0.45">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7">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x14ac:dyDescent="0.45">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7">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x14ac:dyDescent="0.45">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7">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x14ac:dyDescent="0.45">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7">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x14ac:dyDescent="0.45">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7">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x14ac:dyDescent="0.45">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7">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x14ac:dyDescent="0.45">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7">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x14ac:dyDescent="0.45">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7">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x14ac:dyDescent="0.45">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7">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x14ac:dyDescent="0.45">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7">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x14ac:dyDescent="0.45">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7">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x14ac:dyDescent="0.45">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7">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x14ac:dyDescent="0.45">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7">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x14ac:dyDescent="0.45">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7">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x14ac:dyDescent="0.45">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7">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x14ac:dyDescent="0.45">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7">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x14ac:dyDescent="0.45">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7">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x14ac:dyDescent="0.45">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7">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x14ac:dyDescent="0.45">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7">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x14ac:dyDescent="0.45">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7">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x14ac:dyDescent="0.45">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7">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x14ac:dyDescent="0.45">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7">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x14ac:dyDescent="0.45">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7">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x14ac:dyDescent="0.45">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7">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x14ac:dyDescent="0.45">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7">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x14ac:dyDescent="0.45">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7">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x14ac:dyDescent="0.45">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7">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x14ac:dyDescent="0.45">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7">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x14ac:dyDescent="0.45">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7">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x14ac:dyDescent="0.45">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7">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x14ac:dyDescent="0.45">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7">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x14ac:dyDescent="0.45">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7">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x14ac:dyDescent="0.45">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7">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x14ac:dyDescent="0.45">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7">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x14ac:dyDescent="0.45">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7">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x14ac:dyDescent="0.45">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7">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x14ac:dyDescent="0.45">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7">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x14ac:dyDescent="0.45">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7">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x14ac:dyDescent="0.45">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7">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x14ac:dyDescent="0.45">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7">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x14ac:dyDescent="0.45">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7">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x14ac:dyDescent="0.45">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7">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x14ac:dyDescent="0.45">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7">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x14ac:dyDescent="0.45">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7">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x14ac:dyDescent="0.45">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7">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x14ac:dyDescent="0.45">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7">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x14ac:dyDescent="0.45">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7">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x14ac:dyDescent="0.45">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7">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x14ac:dyDescent="0.45">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7">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x14ac:dyDescent="0.45">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7">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x14ac:dyDescent="0.45">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7">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x14ac:dyDescent="0.45">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7">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x14ac:dyDescent="0.45">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7">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x14ac:dyDescent="0.45">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7">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x14ac:dyDescent="0.45">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7">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x14ac:dyDescent="0.45">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7">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x14ac:dyDescent="0.45">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7">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x14ac:dyDescent="0.45">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7">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x14ac:dyDescent="0.45">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7">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x14ac:dyDescent="0.45">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7">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x14ac:dyDescent="0.45">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7">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x14ac:dyDescent="0.45">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7">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x14ac:dyDescent="0.45">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7">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x14ac:dyDescent="0.45">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7">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x14ac:dyDescent="0.45">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7">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x14ac:dyDescent="0.45">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7">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x14ac:dyDescent="0.45">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7">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x14ac:dyDescent="0.45">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7">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x14ac:dyDescent="0.45">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7">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x14ac:dyDescent="0.45">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7">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x14ac:dyDescent="0.45">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7">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x14ac:dyDescent="0.45">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7">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x14ac:dyDescent="0.45">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7">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x14ac:dyDescent="0.45">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7">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x14ac:dyDescent="0.45">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7">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x14ac:dyDescent="0.45">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7">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x14ac:dyDescent="0.45">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7">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x14ac:dyDescent="0.45">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7">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x14ac:dyDescent="0.45">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7">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x14ac:dyDescent="0.45">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7">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x14ac:dyDescent="0.45">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7">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x14ac:dyDescent="0.45">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7">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x14ac:dyDescent="0.45">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7">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x14ac:dyDescent="0.45">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7">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x14ac:dyDescent="0.45">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7">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x14ac:dyDescent="0.45">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7">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x14ac:dyDescent="0.45">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7">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x14ac:dyDescent="0.45">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7">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x14ac:dyDescent="0.45">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7">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x14ac:dyDescent="0.45">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7">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x14ac:dyDescent="0.45">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7">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x14ac:dyDescent="0.45">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7">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x14ac:dyDescent="0.45">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7">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x14ac:dyDescent="0.45">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7">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x14ac:dyDescent="0.45">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7">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x14ac:dyDescent="0.45">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7">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x14ac:dyDescent="0.45">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7">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x14ac:dyDescent="0.45">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7">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x14ac:dyDescent="0.45">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7">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x14ac:dyDescent="0.45">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7">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x14ac:dyDescent="0.45">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7">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x14ac:dyDescent="0.45">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7">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x14ac:dyDescent="0.45">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7">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x14ac:dyDescent="0.45">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7">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x14ac:dyDescent="0.45">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7">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x14ac:dyDescent="0.45">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7">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x14ac:dyDescent="0.45">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7">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x14ac:dyDescent="0.45">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7">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x14ac:dyDescent="0.45">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7">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x14ac:dyDescent="0.45">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7">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x14ac:dyDescent="0.45">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7">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x14ac:dyDescent="0.45">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7">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x14ac:dyDescent="0.45">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7">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x14ac:dyDescent="0.45">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7">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x14ac:dyDescent="0.45">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7">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x14ac:dyDescent="0.45">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7">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x14ac:dyDescent="0.45">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7">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x14ac:dyDescent="0.45">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7">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x14ac:dyDescent="0.45">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7">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x14ac:dyDescent="0.45">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7">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x14ac:dyDescent="0.45">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7">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x14ac:dyDescent="0.45">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7">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x14ac:dyDescent="0.45">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7">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x14ac:dyDescent="0.45">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7">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x14ac:dyDescent="0.45">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7">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x14ac:dyDescent="0.45">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7">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x14ac:dyDescent="0.45">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7">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x14ac:dyDescent="0.45">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7">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x14ac:dyDescent="0.45">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7">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x14ac:dyDescent="0.45">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7">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x14ac:dyDescent="0.45">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7">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x14ac:dyDescent="0.45">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7">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x14ac:dyDescent="0.45">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7">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x14ac:dyDescent="0.45">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7">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x14ac:dyDescent="0.45">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7">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x14ac:dyDescent="0.45">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7">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x14ac:dyDescent="0.45">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7">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x14ac:dyDescent="0.45">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7">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x14ac:dyDescent="0.45">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7">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x14ac:dyDescent="0.45">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7">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x14ac:dyDescent="0.45">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7">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x14ac:dyDescent="0.45">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7">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x14ac:dyDescent="0.45">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7">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x14ac:dyDescent="0.45">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7">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x14ac:dyDescent="0.45">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7">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x14ac:dyDescent="0.45">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7">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x14ac:dyDescent="0.45">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7">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x14ac:dyDescent="0.45">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7">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x14ac:dyDescent="0.45">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7">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x14ac:dyDescent="0.45">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7">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x14ac:dyDescent="0.45">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7">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x14ac:dyDescent="0.45">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7">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x14ac:dyDescent="0.45">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7">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x14ac:dyDescent="0.45">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7">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x14ac:dyDescent="0.45">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7">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x14ac:dyDescent="0.45">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7">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x14ac:dyDescent="0.45">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7">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x14ac:dyDescent="0.45">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7">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x14ac:dyDescent="0.45">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7">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x14ac:dyDescent="0.45">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7">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x14ac:dyDescent="0.45">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7">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x14ac:dyDescent="0.45">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7">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x14ac:dyDescent="0.45">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7">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x14ac:dyDescent="0.45">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7">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x14ac:dyDescent="0.45">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7">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x14ac:dyDescent="0.45">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7">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x14ac:dyDescent="0.45">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7">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x14ac:dyDescent="0.45">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7">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x14ac:dyDescent="0.45">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7">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x14ac:dyDescent="0.45">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7">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x14ac:dyDescent="0.45">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7">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x14ac:dyDescent="0.45">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7">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x14ac:dyDescent="0.45">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7">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x14ac:dyDescent="0.45">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7">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x14ac:dyDescent="0.45">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7">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x14ac:dyDescent="0.45">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7">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x14ac:dyDescent="0.45">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7">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x14ac:dyDescent="0.45">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7">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x14ac:dyDescent="0.45">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7">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x14ac:dyDescent="0.45">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7">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x14ac:dyDescent="0.45">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7">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x14ac:dyDescent="0.45">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7">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x14ac:dyDescent="0.45">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7">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x14ac:dyDescent="0.45">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7">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x14ac:dyDescent="0.45">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7">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x14ac:dyDescent="0.45">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7">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x14ac:dyDescent="0.45">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7">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x14ac:dyDescent="0.45">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7">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x14ac:dyDescent="0.45">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7">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x14ac:dyDescent="0.45">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7">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x14ac:dyDescent="0.45">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7">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x14ac:dyDescent="0.45">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7">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x14ac:dyDescent="0.45">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7">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x14ac:dyDescent="0.45">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7">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x14ac:dyDescent="0.45">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7">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x14ac:dyDescent="0.45">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7">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x14ac:dyDescent="0.45">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7">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x14ac:dyDescent="0.45">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7">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x14ac:dyDescent="0.45">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7">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x14ac:dyDescent="0.45">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7">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x14ac:dyDescent="0.45">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7">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x14ac:dyDescent="0.45">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7">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x14ac:dyDescent="0.45">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7">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x14ac:dyDescent="0.45">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7">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x14ac:dyDescent="0.45">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7">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x14ac:dyDescent="0.45">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7">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x14ac:dyDescent="0.45">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7">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x14ac:dyDescent="0.45">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7">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x14ac:dyDescent="0.45">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7">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x14ac:dyDescent="0.45">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7">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x14ac:dyDescent="0.45">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7">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x14ac:dyDescent="0.45">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7">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x14ac:dyDescent="0.45">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7">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x14ac:dyDescent="0.45">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7">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x14ac:dyDescent="0.45">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7">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x14ac:dyDescent="0.45">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7">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x14ac:dyDescent="0.45">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7">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x14ac:dyDescent="0.45">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7">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x14ac:dyDescent="0.45">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7">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x14ac:dyDescent="0.45">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7">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x14ac:dyDescent="0.45">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7">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x14ac:dyDescent="0.45">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7">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x14ac:dyDescent="0.45">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7">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x14ac:dyDescent="0.45">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7">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x14ac:dyDescent="0.45">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7">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x14ac:dyDescent="0.45">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7">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x14ac:dyDescent="0.45">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7">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x14ac:dyDescent="0.45">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7">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x14ac:dyDescent="0.45">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7">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x14ac:dyDescent="0.45">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7">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x14ac:dyDescent="0.45">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7">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x14ac:dyDescent="0.45">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7">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x14ac:dyDescent="0.45">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7">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x14ac:dyDescent="0.45">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7">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x14ac:dyDescent="0.45">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7">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x14ac:dyDescent="0.45">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7">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x14ac:dyDescent="0.45">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7">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x14ac:dyDescent="0.45">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7">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x14ac:dyDescent="0.45">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7">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x14ac:dyDescent="0.45">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7">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x14ac:dyDescent="0.45">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7">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x14ac:dyDescent="0.45">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7">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x14ac:dyDescent="0.45">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7">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x14ac:dyDescent="0.45">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7">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x14ac:dyDescent="0.45">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7">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x14ac:dyDescent="0.45">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7">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x14ac:dyDescent="0.45">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7">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x14ac:dyDescent="0.45">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7">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x14ac:dyDescent="0.45">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7">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x14ac:dyDescent="0.45">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7">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x14ac:dyDescent="0.45">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7">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x14ac:dyDescent="0.45">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7">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x14ac:dyDescent="0.45">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7">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x14ac:dyDescent="0.45">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7">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x14ac:dyDescent="0.45">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7">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x14ac:dyDescent="0.45">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7">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x14ac:dyDescent="0.45">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7">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x14ac:dyDescent="0.45">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7">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x14ac:dyDescent="0.45">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7">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x14ac:dyDescent="0.45">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7">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x14ac:dyDescent="0.45">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7">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x14ac:dyDescent="0.45">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7">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x14ac:dyDescent="0.45">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7">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x14ac:dyDescent="0.45">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7">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x14ac:dyDescent="0.45">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7">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x14ac:dyDescent="0.45">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7">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x14ac:dyDescent="0.45">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7">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x14ac:dyDescent="0.45">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7">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x14ac:dyDescent="0.45">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7">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x14ac:dyDescent="0.45">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7">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x14ac:dyDescent="0.45">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7">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x14ac:dyDescent="0.45">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7">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x14ac:dyDescent="0.45">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7">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x14ac:dyDescent="0.45">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7">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x14ac:dyDescent="0.45">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7">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x14ac:dyDescent="0.45">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7">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x14ac:dyDescent="0.45">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7">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x14ac:dyDescent="0.45">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7">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x14ac:dyDescent="0.45">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7">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x14ac:dyDescent="0.45">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7">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x14ac:dyDescent="0.45">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7">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x14ac:dyDescent="0.45">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7">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x14ac:dyDescent="0.45">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7">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x14ac:dyDescent="0.45">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7">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x14ac:dyDescent="0.45">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7">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x14ac:dyDescent="0.45">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7">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x14ac:dyDescent="0.45">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7">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x14ac:dyDescent="0.45">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7">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x14ac:dyDescent="0.45">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7">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x14ac:dyDescent="0.45">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7">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x14ac:dyDescent="0.45">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7">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x14ac:dyDescent="0.45">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7">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x14ac:dyDescent="0.45">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7">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x14ac:dyDescent="0.45">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7">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x14ac:dyDescent="0.45">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7">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x14ac:dyDescent="0.45">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7">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x14ac:dyDescent="0.45">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7">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x14ac:dyDescent="0.45">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7">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x14ac:dyDescent="0.45">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7">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x14ac:dyDescent="0.45">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7">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x14ac:dyDescent="0.45">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7">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x14ac:dyDescent="0.45">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7">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x14ac:dyDescent="0.45">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7">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x14ac:dyDescent="0.45">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7">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x14ac:dyDescent="0.45">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7">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x14ac:dyDescent="0.45">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7">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x14ac:dyDescent="0.45">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7">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x14ac:dyDescent="0.45">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7">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x14ac:dyDescent="0.45">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7">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x14ac:dyDescent="0.45">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7">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x14ac:dyDescent="0.45">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7">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x14ac:dyDescent="0.45">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7">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x14ac:dyDescent="0.45">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7">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x14ac:dyDescent="0.45">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7">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x14ac:dyDescent="0.45">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7">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x14ac:dyDescent="0.45">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7">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x14ac:dyDescent="0.45">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7">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x14ac:dyDescent="0.45">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7">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x14ac:dyDescent="0.45">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7">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x14ac:dyDescent="0.45">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7">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x14ac:dyDescent="0.45">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7">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x14ac:dyDescent="0.45">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7">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x14ac:dyDescent="0.45">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7">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x14ac:dyDescent="0.45">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7">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x14ac:dyDescent="0.45">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7">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x14ac:dyDescent="0.45">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7">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x14ac:dyDescent="0.45">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7">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x14ac:dyDescent="0.45">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7">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x14ac:dyDescent="0.45">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7">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x14ac:dyDescent="0.45">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7">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x14ac:dyDescent="0.45">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7">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x14ac:dyDescent="0.45">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7">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x14ac:dyDescent="0.45">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7">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x14ac:dyDescent="0.45">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7">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x14ac:dyDescent="0.45">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7">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x14ac:dyDescent="0.45">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7">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x14ac:dyDescent="0.45">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7">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x14ac:dyDescent="0.45">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7">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x14ac:dyDescent="0.45">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7">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x14ac:dyDescent="0.45">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7">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x14ac:dyDescent="0.45">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7">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x14ac:dyDescent="0.45">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7">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x14ac:dyDescent="0.45">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7">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x14ac:dyDescent="0.45">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7">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x14ac:dyDescent="0.45">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7">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x14ac:dyDescent="0.45">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7">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x14ac:dyDescent="0.45">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7">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x14ac:dyDescent="0.45">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7">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x14ac:dyDescent="0.45">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7">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x14ac:dyDescent="0.45">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7">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x14ac:dyDescent="0.45">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7">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x14ac:dyDescent="0.45">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7">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x14ac:dyDescent="0.45">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7">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x14ac:dyDescent="0.45">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7">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x14ac:dyDescent="0.45">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7">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x14ac:dyDescent="0.45">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7">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x14ac:dyDescent="0.45">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7">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x14ac:dyDescent="0.45">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7">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x14ac:dyDescent="0.45">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7">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x14ac:dyDescent="0.45">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7">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x14ac:dyDescent="0.45">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7">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x14ac:dyDescent="0.45">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7">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x14ac:dyDescent="0.45">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7">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x14ac:dyDescent="0.45">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7">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x14ac:dyDescent="0.45">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7">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x14ac:dyDescent="0.45">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7">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x14ac:dyDescent="0.45">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7">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x14ac:dyDescent="0.45">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7">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x14ac:dyDescent="0.45">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7">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x14ac:dyDescent="0.45">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7">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x14ac:dyDescent="0.45">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7">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x14ac:dyDescent="0.45">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7">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x14ac:dyDescent="0.45">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7">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x14ac:dyDescent="0.45">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7">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x14ac:dyDescent="0.45">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7">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x14ac:dyDescent="0.45">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7">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x14ac:dyDescent="0.45">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7">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x14ac:dyDescent="0.45">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7">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x14ac:dyDescent="0.45">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7">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x14ac:dyDescent="0.45">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7">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x14ac:dyDescent="0.45">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7">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x14ac:dyDescent="0.45">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7">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x14ac:dyDescent="0.45">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7">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x14ac:dyDescent="0.45">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7">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x14ac:dyDescent="0.45">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7">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x14ac:dyDescent="0.45">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7">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x14ac:dyDescent="0.45">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7">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x14ac:dyDescent="0.45">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7">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x14ac:dyDescent="0.45">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7">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x14ac:dyDescent="0.45">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7">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x14ac:dyDescent="0.45">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7">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x14ac:dyDescent="0.45">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7">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x14ac:dyDescent="0.45">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7">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x14ac:dyDescent="0.45">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7">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x14ac:dyDescent="0.45">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7">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x14ac:dyDescent="0.45">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7">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x14ac:dyDescent="0.45">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7">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x14ac:dyDescent="0.45">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7">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x14ac:dyDescent="0.45">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7">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x14ac:dyDescent="0.45">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7">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x14ac:dyDescent="0.45">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7">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x14ac:dyDescent="0.45">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7">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x14ac:dyDescent="0.45">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7">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x14ac:dyDescent="0.45">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7">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x14ac:dyDescent="0.45">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7">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x14ac:dyDescent="0.45">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7">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x14ac:dyDescent="0.45">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7">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x14ac:dyDescent="0.45">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7">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x14ac:dyDescent="0.45">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7">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x14ac:dyDescent="0.45">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7">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x14ac:dyDescent="0.45">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7">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x14ac:dyDescent="0.45">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7">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x14ac:dyDescent="0.45">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7">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x14ac:dyDescent="0.45">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7">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x14ac:dyDescent="0.45">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7">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x14ac:dyDescent="0.45">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7">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x14ac:dyDescent="0.45">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7">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x14ac:dyDescent="0.45">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7">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x14ac:dyDescent="0.45">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7">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x14ac:dyDescent="0.45">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7">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x14ac:dyDescent="0.45">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7">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x14ac:dyDescent="0.45">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7">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x14ac:dyDescent="0.45">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7">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x14ac:dyDescent="0.45">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7">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x14ac:dyDescent="0.45">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7">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x14ac:dyDescent="0.45">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7">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x14ac:dyDescent="0.45">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7">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x14ac:dyDescent="0.45">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7">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x14ac:dyDescent="0.45">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7">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x14ac:dyDescent="0.45">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7">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x14ac:dyDescent="0.45">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7">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x14ac:dyDescent="0.45">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7">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x14ac:dyDescent="0.45">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7">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x14ac:dyDescent="0.45">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7">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x14ac:dyDescent="0.45">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7">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x14ac:dyDescent="0.45">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7">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x14ac:dyDescent="0.45">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7">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x14ac:dyDescent="0.45">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7">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x14ac:dyDescent="0.45">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7">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x14ac:dyDescent="0.45">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7">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x14ac:dyDescent="0.45">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7">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x14ac:dyDescent="0.45">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7">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x14ac:dyDescent="0.45">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7">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x14ac:dyDescent="0.45">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7">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x14ac:dyDescent="0.45">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7">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x14ac:dyDescent="0.45">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7">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x14ac:dyDescent="0.45">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7">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x14ac:dyDescent="0.45">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7">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x14ac:dyDescent="0.45">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7">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x14ac:dyDescent="0.45">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7">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x14ac:dyDescent="0.45">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7">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x14ac:dyDescent="0.45">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7">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x14ac:dyDescent="0.45">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7">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x14ac:dyDescent="0.45">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7">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x14ac:dyDescent="0.45">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7">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x14ac:dyDescent="0.45">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7">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x14ac:dyDescent="0.45">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7">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x14ac:dyDescent="0.45">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7">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x14ac:dyDescent="0.45">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7">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x14ac:dyDescent="0.45">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7">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x14ac:dyDescent="0.45">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7">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x14ac:dyDescent="0.45">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7">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x14ac:dyDescent="0.45">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7">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x14ac:dyDescent="0.45">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7">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x14ac:dyDescent="0.45">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7">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x14ac:dyDescent="0.45">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7">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x14ac:dyDescent="0.45">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7">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x14ac:dyDescent="0.45">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7">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x14ac:dyDescent="0.45">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7">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x14ac:dyDescent="0.45">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7">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x14ac:dyDescent="0.45">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7">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x14ac:dyDescent="0.45">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7">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x14ac:dyDescent="0.45">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7">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x14ac:dyDescent="0.45">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7">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x14ac:dyDescent="0.45">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7">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x14ac:dyDescent="0.45">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7">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x14ac:dyDescent="0.45">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7">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x14ac:dyDescent="0.45">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7">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x14ac:dyDescent="0.45">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7">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x14ac:dyDescent="0.45">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7">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x14ac:dyDescent="0.45">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7">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x14ac:dyDescent="0.45">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7">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x14ac:dyDescent="0.45">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7">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x14ac:dyDescent="0.45">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7">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x14ac:dyDescent="0.45">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7">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x14ac:dyDescent="0.45">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7">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x14ac:dyDescent="0.45">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7">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x14ac:dyDescent="0.45">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7">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x14ac:dyDescent="0.45">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7">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x14ac:dyDescent="0.45">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7">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x14ac:dyDescent="0.45">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7">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x14ac:dyDescent="0.45">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7">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x14ac:dyDescent="0.45">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7">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x14ac:dyDescent="0.45">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7">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x14ac:dyDescent="0.45">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7">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x14ac:dyDescent="0.45">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7">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x14ac:dyDescent="0.45">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7">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x14ac:dyDescent="0.45">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7">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x14ac:dyDescent="0.45">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7">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x14ac:dyDescent="0.45">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7">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x14ac:dyDescent="0.45">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7">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x14ac:dyDescent="0.45">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7">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x14ac:dyDescent="0.45">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7">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x14ac:dyDescent="0.45">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7">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x14ac:dyDescent="0.45">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7">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x14ac:dyDescent="0.45">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7">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x14ac:dyDescent="0.45">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7">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x14ac:dyDescent="0.45">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7">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x14ac:dyDescent="0.45">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7">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x14ac:dyDescent="0.45">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7">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x14ac:dyDescent="0.45">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7">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x14ac:dyDescent="0.45">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7">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x14ac:dyDescent="0.45">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7">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x14ac:dyDescent="0.45">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7">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x14ac:dyDescent="0.45">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7">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x14ac:dyDescent="0.45">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7">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x14ac:dyDescent="0.45">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7">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x14ac:dyDescent="0.45">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7">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x14ac:dyDescent="0.45">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7">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x14ac:dyDescent="0.45">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7">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x14ac:dyDescent="0.45">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7">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x14ac:dyDescent="0.45">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7">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x14ac:dyDescent="0.45">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7">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x14ac:dyDescent="0.45">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7">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x14ac:dyDescent="0.45">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7">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x14ac:dyDescent="0.45">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7">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x14ac:dyDescent="0.45">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7">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x14ac:dyDescent="0.45">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7">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x14ac:dyDescent="0.45">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7">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x14ac:dyDescent="0.45">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7">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x14ac:dyDescent="0.45">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7">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x14ac:dyDescent="0.45">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7">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x14ac:dyDescent="0.45">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7">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x14ac:dyDescent="0.45">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7">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x14ac:dyDescent="0.45">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7">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x14ac:dyDescent="0.45">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7">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x14ac:dyDescent="0.45">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7">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x14ac:dyDescent="0.45">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7">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x14ac:dyDescent="0.45">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7">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x14ac:dyDescent="0.45">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7">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x14ac:dyDescent="0.45">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7">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x14ac:dyDescent="0.45">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7">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x14ac:dyDescent="0.45">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7">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x14ac:dyDescent="0.45">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7">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x14ac:dyDescent="0.45">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7">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x14ac:dyDescent="0.45">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7">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x14ac:dyDescent="0.45">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7">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x14ac:dyDescent="0.45">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7">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x14ac:dyDescent="0.45">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7">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x14ac:dyDescent="0.45">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7">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x14ac:dyDescent="0.45">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7">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x14ac:dyDescent="0.45">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7">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x14ac:dyDescent="0.45">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7">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x14ac:dyDescent="0.45">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7">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x14ac:dyDescent="0.45">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7">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x14ac:dyDescent="0.45">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7">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x14ac:dyDescent="0.45">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7">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x14ac:dyDescent="0.45">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7">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x14ac:dyDescent="0.45">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7">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x14ac:dyDescent="0.45">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7">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x14ac:dyDescent="0.45">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7">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x14ac:dyDescent="0.45">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7">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x14ac:dyDescent="0.45">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7">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x14ac:dyDescent="0.45">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7">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x14ac:dyDescent="0.45">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7">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x14ac:dyDescent="0.45">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7">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x14ac:dyDescent="0.45">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7">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x14ac:dyDescent="0.45">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7">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x14ac:dyDescent="0.45">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7">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x14ac:dyDescent="0.45">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7">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x14ac:dyDescent="0.45">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7">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x14ac:dyDescent="0.45">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7">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x14ac:dyDescent="0.45">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7">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x14ac:dyDescent="0.45">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7">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x14ac:dyDescent="0.45">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7">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x14ac:dyDescent="0.45">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7">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x14ac:dyDescent="0.45">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7">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x14ac:dyDescent="0.45">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7">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x14ac:dyDescent="0.45">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7">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x14ac:dyDescent="0.45">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7">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x14ac:dyDescent="0.45">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7">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x14ac:dyDescent="0.45">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7">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x14ac:dyDescent="0.45">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7">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x14ac:dyDescent="0.45">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7">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x14ac:dyDescent="0.45">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7">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x14ac:dyDescent="0.45">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7">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x14ac:dyDescent="0.45">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7">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x14ac:dyDescent="0.45">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7">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x14ac:dyDescent="0.45">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7">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x14ac:dyDescent="0.45">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7">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x14ac:dyDescent="0.45">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7">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x14ac:dyDescent="0.45">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7">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x14ac:dyDescent="0.45">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7">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x14ac:dyDescent="0.45">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7">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x14ac:dyDescent="0.45">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7">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x14ac:dyDescent="0.45">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7">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x14ac:dyDescent="0.45">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7">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x14ac:dyDescent="0.45">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7">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x14ac:dyDescent="0.45">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7">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x14ac:dyDescent="0.45">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7">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x14ac:dyDescent="0.45">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7">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x14ac:dyDescent="0.45">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7">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x14ac:dyDescent="0.45">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7">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x14ac:dyDescent="0.45">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7">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x14ac:dyDescent="0.45">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7">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x14ac:dyDescent="0.45">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7">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x14ac:dyDescent="0.45">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7">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x14ac:dyDescent="0.45">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7">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x14ac:dyDescent="0.45">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7">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x14ac:dyDescent="0.45">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7">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x14ac:dyDescent="0.45">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7">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x14ac:dyDescent="0.45">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7">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x14ac:dyDescent="0.45">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7">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x14ac:dyDescent="0.45">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7">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x14ac:dyDescent="0.45">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7">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x14ac:dyDescent="0.45">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7">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x14ac:dyDescent="0.45">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7">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x14ac:dyDescent="0.45">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7">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x14ac:dyDescent="0.45">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7">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x14ac:dyDescent="0.45">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7">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x14ac:dyDescent="0.45">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7">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x14ac:dyDescent="0.45">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7">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x14ac:dyDescent="0.45">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7">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x14ac:dyDescent="0.45">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7">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x14ac:dyDescent="0.45">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7">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x14ac:dyDescent="0.45">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7">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x14ac:dyDescent="0.45">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7">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x14ac:dyDescent="0.45">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7">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x14ac:dyDescent="0.45">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7">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x14ac:dyDescent="0.45">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7">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x14ac:dyDescent="0.45">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7">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x14ac:dyDescent="0.45">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7">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x14ac:dyDescent="0.45">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7">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x14ac:dyDescent="0.45">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7">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x14ac:dyDescent="0.45">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7">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x14ac:dyDescent="0.45">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7">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x14ac:dyDescent="0.45">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7">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x14ac:dyDescent="0.45">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7">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x14ac:dyDescent="0.45">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7">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x14ac:dyDescent="0.45">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7">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x14ac:dyDescent="0.45">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7">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x14ac:dyDescent="0.45">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7">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x14ac:dyDescent="0.45">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7">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x14ac:dyDescent="0.45">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7">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x14ac:dyDescent="0.45">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7">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x14ac:dyDescent="0.45">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7">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x14ac:dyDescent="0.45">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7">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x14ac:dyDescent="0.45">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7">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x14ac:dyDescent="0.45">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7">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x14ac:dyDescent="0.45">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7">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x14ac:dyDescent="0.45">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7">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x14ac:dyDescent="0.45">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7">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x14ac:dyDescent="0.45">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7">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x14ac:dyDescent="0.45">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7">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x14ac:dyDescent="0.45">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7">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x14ac:dyDescent="0.45">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7">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x14ac:dyDescent="0.45">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7">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x14ac:dyDescent="0.45">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7">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x14ac:dyDescent="0.45">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7">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x14ac:dyDescent="0.45">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7">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x14ac:dyDescent="0.45">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7">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x14ac:dyDescent="0.45">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7">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x14ac:dyDescent="0.45">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7">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x14ac:dyDescent="0.45">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7">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x14ac:dyDescent="0.45">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7">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x14ac:dyDescent="0.45">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7">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x14ac:dyDescent="0.45">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7">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x14ac:dyDescent="0.45">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7">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x14ac:dyDescent="0.45">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7">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x14ac:dyDescent="0.45">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7">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x14ac:dyDescent="0.45">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7">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x14ac:dyDescent="0.45">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7">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x14ac:dyDescent="0.45">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7">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x14ac:dyDescent="0.45">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7">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x14ac:dyDescent="0.45">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7">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x14ac:dyDescent="0.45">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7">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x14ac:dyDescent="0.45">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7">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x14ac:dyDescent="0.45">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7">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x14ac:dyDescent="0.45">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7">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x14ac:dyDescent="0.45">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7">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x14ac:dyDescent="0.45">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7">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x14ac:dyDescent="0.45">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7">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x14ac:dyDescent="0.45">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7">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x14ac:dyDescent="0.45">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7">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x14ac:dyDescent="0.45">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7">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x14ac:dyDescent="0.45">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7">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x14ac:dyDescent="0.45">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7">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x14ac:dyDescent="0.45">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7">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x14ac:dyDescent="0.45">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7">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x14ac:dyDescent="0.45">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7">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x14ac:dyDescent="0.45">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7">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x14ac:dyDescent="0.45">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7">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x14ac:dyDescent="0.45">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7">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x14ac:dyDescent="0.45">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7">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x14ac:dyDescent="0.45">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7">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x14ac:dyDescent="0.45">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7">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x14ac:dyDescent="0.45">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7">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x14ac:dyDescent="0.45">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7">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x14ac:dyDescent="0.45">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7">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x14ac:dyDescent="0.45">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7">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x14ac:dyDescent="0.45">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7">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x14ac:dyDescent="0.45">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7">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x14ac:dyDescent="0.45">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7">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x14ac:dyDescent="0.45">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7">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x14ac:dyDescent="0.45">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7">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x14ac:dyDescent="0.45">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7">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x14ac:dyDescent="0.45">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7">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x14ac:dyDescent="0.45">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7">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x14ac:dyDescent="0.45">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7">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x14ac:dyDescent="0.45">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7">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x14ac:dyDescent="0.45">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7">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x14ac:dyDescent="0.45">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7">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x14ac:dyDescent="0.45">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7">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x14ac:dyDescent="0.45">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7">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x14ac:dyDescent="0.45">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7">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x14ac:dyDescent="0.45">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7">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x14ac:dyDescent="0.45">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7">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x14ac:dyDescent="0.45">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7">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x14ac:dyDescent="0.45">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7">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x14ac:dyDescent="0.45">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7">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x14ac:dyDescent="0.45">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7">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x14ac:dyDescent="0.45">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7">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x14ac:dyDescent="0.45">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7">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x14ac:dyDescent="0.45">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7">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x14ac:dyDescent="0.45">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7">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x14ac:dyDescent="0.45">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7">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x14ac:dyDescent="0.45">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7">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x14ac:dyDescent="0.45">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7">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x14ac:dyDescent="0.45">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7">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x14ac:dyDescent="0.45">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7">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x14ac:dyDescent="0.45">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7">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x14ac:dyDescent="0.45">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7">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x14ac:dyDescent="0.45">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7">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x14ac:dyDescent="0.45">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7">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x14ac:dyDescent="0.45">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7">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x14ac:dyDescent="0.45">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7">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x14ac:dyDescent="0.45">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7">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x14ac:dyDescent="0.45">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7">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x14ac:dyDescent="0.45">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7">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x14ac:dyDescent="0.45">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7">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x14ac:dyDescent="0.45">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7">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x14ac:dyDescent="0.45">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7">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x14ac:dyDescent="0.45">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7">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x14ac:dyDescent="0.45">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7">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x14ac:dyDescent="0.45">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7">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x14ac:dyDescent="0.45">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7">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x14ac:dyDescent="0.45">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7">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x14ac:dyDescent="0.45">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7">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x14ac:dyDescent="0.45">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7">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x14ac:dyDescent="0.45">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7">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x14ac:dyDescent="0.45">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7">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x14ac:dyDescent="0.45">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7">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x14ac:dyDescent="0.45">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7">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x14ac:dyDescent="0.45">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7">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x14ac:dyDescent="0.45">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7">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x14ac:dyDescent="0.45">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7">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x14ac:dyDescent="0.45">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7">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x14ac:dyDescent="0.45">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7">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x14ac:dyDescent="0.45">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7">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x14ac:dyDescent="0.45">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7">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x14ac:dyDescent="0.45">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7">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x14ac:dyDescent="0.45">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7">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x14ac:dyDescent="0.45">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7">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x14ac:dyDescent="0.45">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7">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x14ac:dyDescent="0.45">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7">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x14ac:dyDescent="0.45">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7">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x14ac:dyDescent="0.45">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7">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x14ac:dyDescent="0.45">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7">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x14ac:dyDescent="0.45">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7">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x14ac:dyDescent="0.45">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7">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x14ac:dyDescent="0.45">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7">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x14ac:dyDescent="0.45">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7">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x14ac:dyDescent="0.45">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7">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x14ac:dyDescent="0.45">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7">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x14ac:dyDescent="0.45">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7">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x14ac:dyDescent="0.45">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7">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x14ac:dyDescent="0.45">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7">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x14ac:dyDescent="0.45">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7">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x14ac:dyDescent="0.45">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7">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x14ac:dyDescent="0.45">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7">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x14ac:dyDescent="0.45">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7">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x14ac:dyDescent="0.45">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7">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x14ac:dyDescent="0.45">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7">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x14ac:dyDescent="0.45">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7">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x14ac:dyDescent="0.45">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7">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x14ac:dyDescent="0.45">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7">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x14ac:dyDescent="0.45">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7">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x14ac:dyDescent="0.45">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7">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x14ac:dyDescent="0.45">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7">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x14ac:dyDescent="0.45">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7">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x14ac:dyDescent="0.45">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7">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x14ac:dyDescent="0.45">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7">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x14ac:dyDescent="0.45">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7">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x14ac:dyDescent="0.45">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7">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x14ac:dyDescent="0.45">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7">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x14ac:dyDescent="0.45">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7">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x14ac:dyDescent="0.45">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7">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x14ac:dyDescent="0.45">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7">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x14ac:dyDescent="0.45">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7">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x14ac:dyDescent="0.45">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7">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x14ac:dyDescent="0.45">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7">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x14ac:dyDescent="0.45">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7">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x14ac:dyDescent="0.45">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7">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x14ac:dyDescent="0.45">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7">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x14ac:dyDescent="0.45">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7">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x14ac:dyDescent="0.45">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7">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x14ac:dyDescent="0.45">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7">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x14ac:dyDescent="0.45">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7">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x14ac:dyDescent="0.45">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7">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x14ac:dyDescent="0.45">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7">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x14ac:dyDescent="0.45">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7">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x14ac:dyDescent="0.45">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7">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x14ac:dyDescent="0.45">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7">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x14ac:dyDescent="0.45">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7">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x14ac:dyDescent="0.45">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7">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x14ac:dyDescent="0.45">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7">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x14ac:dyDescent="0.45">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7">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x14ac:dyDescent="0.45">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7">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x14ac:dyDescent="0.45">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7">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x14ac:dyDescent="0.45">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7">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x14ac:dyDescent="0.45">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7">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x14ac:dyDescent="0.45">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7">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x14ac:dyDescent="0.45">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7">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x14ac:dyDescent="0.45">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7">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x14ac:dyDescent="0.45">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7">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x14ac:dyDescent="0.45">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7">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x14ac:dyDescent="0.45">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7">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x14ac:dyDescent="0.45">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7">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x14ac:dyDescent="0.45">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7">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x14ac:dyDescent="0.45">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7">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x14ac:dyDescent="0.45">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7">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x14ac:dyDescent="0.45">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7">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x14ac:dyDescent="0.45">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7">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x14ac:dyDescent="0.45">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7">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x14ac:dyDescent="0.45">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7">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x14ac:dyDescent="0.45">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7">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x14ac:dyDescent="0.45">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7">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x14ac:dyDescent="0.45">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7">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x14ac:dyDescent="0.45">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7">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x14ac:dyDescent="0.45">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7">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x14ac:dyDescent="0.45">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7">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x14ac:dyDescent="0.45">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7">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x14ac:dyDescent="0.45">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7">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x14ac:dyDescent="0.45">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7">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x14ac:dyDescent="0.45">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7">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x14ac:dyDescent="0.45">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7">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x14ac:dyDescent="0.45">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7">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x14ac:dyDescent="0.45">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7">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x14ac:dyDescent="0.45">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7">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x14ac:dyDescent="0.45">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7">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x14ac:dyDescent="0.45">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7">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x14ac:dyDescent="0.45">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7">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x14ac:dyDescent="0.45">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7">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x14ac:dyDescent="0.45">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7">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x14ac:dyDescent="0.45">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7">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x14ac:dyDescent="0.45">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7">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x14ac:dyDescent="0.45">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7">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x14ac:dyDescent="0.45">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7">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x14ac:dyDescent="0.45">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7">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x14ac:dyDescent="0.45">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7">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x14ac:dyDescent="0.45">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7">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x14ac:dyDescent="0.45">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7">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x14ac:dyDescent="0.45">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7">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x14ac:dyDescent="0.45">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7">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x14ac:dyDescent="0.45">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7">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x14ac:dyDescent="0.45">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7">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x14ac:dyDescent="0.45">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7">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x14ac:dyDescent="0.45">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7">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x14ac:dyDescent="0.45">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7">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x14ac:dyDescent="0.45">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7">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x14ac:dyDescent="0.45">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7">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x14ac:dyDescent="0.45">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7">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x14ac:dyDescent="0.45">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7">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x14ac:dyDescent="0.45">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7">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x14ac:dyDescent="0.45">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7">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x14ac:dyDescent="0.45">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7">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x14ac:dyDescent="0.45">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7">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x14ac:dyDescent="0.45">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7">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x14ac:dyDescent="0.45">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7">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x14ac:dyDescent="0.45">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7">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x14ac:dyDescent="0.45">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7">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x14ac:dyDescent="0.45">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7">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x14ac:dyDescent="0.45">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7">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x14ac:dyDescent="0.45">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7">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x14ac:dyDescent="0.45">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7">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x14ac:dyDescent="0.45">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7">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x14ac:dyDescent="0.45">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7">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x14ac:dyDescent="0.45">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7">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x14ac:dyDescent="0.45">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7">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x14ac:dyDescent="0.45">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7">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x14ac:dyDescent="0.45">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7">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x14ac:dyDescent="0.45">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7">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x14ac:dyDescent="0.45">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7">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x14ac:dyDescent="0.45">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7">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x14ac:dyDescent="0.45">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7">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x14ac:dyDescent="0.45">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7">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x14ac:dyDescent="0.45">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7">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x14ac:dyDescent="0.45">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7">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x14ac:dyDescent="0.45">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7">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x14ac:dyDescent="0.45">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7">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x14ac:dyDescent="0.45">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7">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x14ac:dyDescent="0.45">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7">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x14ac:dyDescent="0.45">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7">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x14ac:dyDescent="0.45">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7">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x14ac:dyDescent="0.45">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7">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x14ac:dyDescent="0.45">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7">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x14ac:dyDescent="0.45">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7">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x14ac:dyDescent="0.45">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7">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x14ac:dyDescent="0.45">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7">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x14ac:dyDescent="0.45">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7">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x14ac:dyDescent="0.45">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7">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x14ac:dyDescent="0.45">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7">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x14ac:dyDescent="0.45">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7">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x14ac:dyDescent="0.45">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7">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x14ac:dyDescent="0.45">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7">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x14ac:dyDescent="0.45">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7">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x14ac:dyDescent="0.45">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7">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x14ac:dyDescent="0.45">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7">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x14ac:dyDescent="0.45">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7">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x14ac:dyDescent="0.45">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7">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x14ac:dyDescent="0.45">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7">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x14ac:dyDescent="0.45">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7">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x14ac:dyDescent="0.45">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7">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x14ac:dyDescent="0.45">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7">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x14ac:dyDescent="0.45">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7">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x14ac:dyDescent="0.45">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7">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x14ac:dyDescent="0.45">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7">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x14ac:dyDescent="0.45">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7">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x14ac:dyDescent="0.45">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7">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x14ac:dyDescent="0.45">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7">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x14ac:dyDescent="0.45">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7">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x14ac:dyDescent="0.45">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7">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x14ac:dyDescent="0.45">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7">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x14ac:dyDescent="0.45">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7">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x14ac:dyDescent="0.45">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7">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x14ac:dyDescent="0.45">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7">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x14ac:dyDescent="0.45">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7">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x14ac:dyDescent="0.45">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7">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x14ac:dyDescent="0.45">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7">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x14ac:dyDescent="0.45">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7">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x14ac:dyDescent="0.45">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7">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x14ac:dyDescent="0.45">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7">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x14ac:dyDescent="0.45">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7">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x14ac:dyDescent="0.45">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7">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x14ac:dyDescent="0.45">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7">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x14ac:dyDescent="0.45">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7">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x14ac:dyDescent="0.45">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7">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x14ac:dyDescent="0.45">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7">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x14ac:dyDescent="0.45">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7">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x14ac:dyDescent="0.45">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7">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x14ac:dyDescent="0.45">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7">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x14ac:dyDescent="0.45">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7">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x14ac:dyDescent="0.45">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7">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x14ac:dyDescent="0.45">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7">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x14ac:dyDescent="0.45">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7">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x14ac:dyDescent="0.45">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7">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x14ac:dyDescent="0.45">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7">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x14ac:dyDescent="0.45">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7">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x14ac:dyDescent="0.45">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7">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x14ac:dyDescent="0.45">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7">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x14ac:dyDescent="0.45">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7">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x14ac:dyDescent="0.45">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7">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x14ac:dyDescent="0.45">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7">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x14ac:dyDescent="0.45">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7">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x14ac:dyDescent="0.45">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7">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x14ac:dyDescent="0.45">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7">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x14ac:dyDescent="0.45">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7">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x14ac:dyDescent="0.45">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7">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x14ac:dyDescent="0.45">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7">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x14ac:dyDescent="0.45">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7">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x14ac:dyDescent="0.45">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7">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x14ac:dyDescent="0.45">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7">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x14ac:dyDescent="0.45">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7">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x14ac:dyDescent="0.45">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7">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x14ac:dyDescent="0.45">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7">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x14ac:dyDescent="0.45">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7">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x14ac:dyDescent="0.45">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7">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x14ac:dyDescent="0.45">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7">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x14ac:dyDescent="0.45">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7">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x14ac:dyDescent="0.45">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7">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x14ac:dyDescent="0.45">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7">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x14ac:dyDescent="0.45">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7">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x14ac:dyDescent="0.45">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7">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x14ac:dyDescent="0.45">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7">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x14ac:dyDescent="0.45">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7">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x14ac:dyDescent="0.45">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7">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x14ac:dyDescent="0.45">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7">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x14ac:dyDescent="0.45">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7">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x14ac:dyDescent="0.45">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7">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x14ac:dyDescent="0.45">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7">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x14ac:dyDescent="0.45">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7">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x14ac:dyDescent="0.45">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7">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x14ac:dyDescent="0.45">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7">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x14ac:dyDescent="0.45">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7">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x14ac:dyDescent="0.45">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7">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x14ac:dyDescent="0.45">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7">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x14ac:dyDescent="0.45">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7">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x14ac:dyDescent="0.45">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7">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x14ac:dyDescent="0.45">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7">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x14ac:dyDescent="0.45">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7">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x14ac:dyDescent="0.45">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7">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x14ac:dyDescent="0.45">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7">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x14ac:dyDescent="0.45">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7">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x14ac:dyDescent="0.45">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7">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x14ac:dyDescent="0.45">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7">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x14ac:dyDescent="0.45">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7">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x14ac:dyDescent="0.45">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7">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x14ac:dyDescent="0.45">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7">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x14ac:dyDescent="0.45">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7">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x14ac:dyDescent="0.45">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7">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x14ac:dyDescent="0.45">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7">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x14ac:dyDescent="0.45">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7">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x14ac:dyDescent="0.45">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7">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x14ac:dyDescent="0.45">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7">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x14ac:dyDescent="0.45">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7">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x14ac:dyDescent="0.45">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7">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x14ac:dyDescent="0.45">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7">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x14ac:dyDescent="0.45">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7">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x14ac:dyDescent="0.45">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7">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x14ac:dyDescent="0.45">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7">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x14ac:dyDescent="0.45">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7">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x14ac:dyDescent="0.45">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7">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x14ac:dyDescent="0.45">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7">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x14ac:dyDescent="0.45">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7">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x14ac:dyDescent="0.45">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7">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x14ac:dyDescent="0.45">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7">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x14ac:dyDescent="0.45">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7">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x14ac:dyDescent="0.45">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7">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x14ac:dyDescent="0.45">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7">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x14ac:dyDescent="0.45">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7">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x14ac:dyDescent="0.45">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7">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x14ac:dyDescent="0.45">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7">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x14ac:dyDescent="0.45">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7">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x14ac:dyDescent="0.45">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7">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x14ac:dyDescent="0.45">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7">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x14ac:dyDescent="0.45">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7">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x14ac:dyDescent="0.45">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7">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x14ac:dyDescent="0.45">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7">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x14ac:dyDescent="0.45">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7">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x14ac:dyDescent="0.45">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7">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x14ac:dyDescent="0.45">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7">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x14ac:dyDescent="0.45">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7">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x14ac:dyDescent="0.45">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7">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x14ac:dyDescent="0.45">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7">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x14ac:dyDescent="0.45">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7">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x14ac:dyDescent="0.45">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7">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x14ac:dyDescent="0.45">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7">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x14ac:dyDescent="0.45">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7">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x14ac:dyDescent="0.45">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7">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x14ac:dyDescent="0.45">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7">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x14ac:dyDescent="0.45">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7">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x14ac:dyDescent="0.45">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7">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x14ac:dyDescent="0.45">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7">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x14ac:dyDescent="0.45">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7">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x14ac:dyDescent="0.45">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7">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x14ac:dyDescent="0.45">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7">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x14ac:dyDescent="0.45">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7">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x14ac:dyDescent="0.45">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7">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x14ac:dyDescent="0.45">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7">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x14ac:dyDescent="0.45">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7">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x14ac:dyDescent="0.45">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7">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x14ac:dyDescent="0.45">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7">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x14ac:dyDescent="0.45">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7">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5023-1948-4B17-ABA1-C59F55B610A0}">
  <dimension ref="A3:G46"/>
  <sheetViews>
    <sheetView workbookViewId="0">
      <selection activeCell="C10" sqref="C10"/>
    </sheetView>
  </sheetViews>
  <sheetFormatPr defaultRowHeight="14.25" x14ac:dyDescent="0.45"/>
  <cols>
    <col min="1" max="1" width="21" bestFit="1" customWidth="1"/>
    <col min="2" max="2" width="6.19921875" bestFit="1" customWidth="1"/>
  </cols>
  <sheetData>
    <row r="3" spans="1:7" x14ac:dyDescent="0.45">
      <c r="A3" s="2" t="s">
        <v>58</v>
      </c>
    </row>
    <row r="4" spans="1:7" x14ac:dyDescent="0.45">
      <c r="A4" s="3" t="s">
        <v>9</v>
      </c>
    </row>
    <row r="5" spans="1:7" x14ac:dyDescent="0.45">
      <c r="A5" s="4" t="s">
        <v>26</v>
      </c>
    </row>
    <row r="6" spans="1:7" x14ac:dyDescent="0.45">
      <c r="A6" s="4" t="s">
        <v>27</v>
      </c>
    </row>
    <row r="7" spans="1:7" ht="14.65" thickBot="1" x14ac:dyDescent="0.5">
      <c r="A7" s="4" t="s">
        <v>10</v>
      </c>
    </row>
    <row r="8" spans="1:7" ht="14.25" customHeight="1" x14ac:dyDescent="0.45">
      <c r="A8" s="4" t="s">
        <v>48</v>
      </c>
      <c r="C8" s="22" t="s">
        <v>70</v>
      </c>
      <c r="D8" s="23"/>
      <c r="E8" s="23"/>
      <c r="F8" s="23"/>
      <c r="G8" s="24"/>
    </row>
    <row r="9" spans="1:7" ht="14.65" thickBot="1" x14ac:dyDescent="0.5">
      <c r="A9" s="3" t="s">
        <v>14</v>
      </c>
      <c r="C9" s="25"/>
      <c r="D9" s="26"/>
      <c r="E9" s="26"/>
      <c r="F9" s="26"/>
      <c r="G9" s="27"/>
    </row>
    <row r="10" spans="1:7" x14ac:dyDescent="0.45">
      <c r="A10" s="4" t="s">
        <v>15</v>
      </c>
      <c r="C10" s="11"/>
      <c r="D10" s="11"/>
      <c r="E10" s="11"/>
      <c r="F10" s="11"/>
      <c r="G10" s="11"/>
    </row>
    <row r="11" spans="1:7" x14ac:dyDescent="0.45">
      <c r="A11" s="3" t="s">
        <v>49</v>
      </c>
    </row>
    <row r="12" spans="1:7" x14ac:dyDescent="0.45">
      <c r="A12" s="4" t="s">
        <v>50</v>
      </c>
    </row>
    <row r="13" spans="1:7" x14ac:dyDescent="0.45">
      <c r="A13" s="3" t="s">
        <v>28</v>
      </c>
    </row>
    <row r="14" spans="1:7" x14ac:dyDescent="0.45">
      <c r="A14" s="4" t="s">
        <v>29</v>
      </c>
    </row>
    <row r="15" spans="1:7" x14ac:dyDescent="0.45">
      <c r="A15" s="3" t="s">
        <v>31</v>
      </c>
    </row>
    <row r="16" spans="1:7" x14ac:dyDescent="0.45">
      <c r="A16" s="4" t="s">
        <v>32</v>
      </c>
    </row>
    <row r="17" spans="1:1" x14ac:dyDescent="0.45">
      <c r="A17" s="3" t="s">
        <v>33</v>
      </c>
    </row>
    <row r="18" spans="1:1" x14ac:dyDescent="0.45">
      <c r="A18" s="4" t="s">
        <v>41</v>
      </c>
    </row>
    <row r="19" spans="1:1" x14ac:dyDescent="0.45">
      <c r="A19" s="4" t="s">
        <v>34</v>
      </c>
    </row>
    <row r="20" spans="1:1" x14ac:dyDescent="0.45">
      <c r="A20" s="3" t="s">
        <v>42</v>
      </c>
    </row>
    <row r="21" spans="1:1" x14ac:dyDescent="0.45">
      <c r="A21" s="4" t="s">
        <v>43</v>
      </c>
    </row>
    <row r="22" spans="1:1" x14ac:dyDescent="0.45">
      <c r="A22" s="3" t="s">
        <v>16</v>
      </c>
    </row>
    <row r="23" spans="1:1" x14ac:dyDescent="0.45">
      <c r="A23" s="4" t="s">
        <v>17</v>
      </c>
    </row>
    <row r="24" spans="1:1" x14ac:dyDescent="0.45">
      <c r="A24" s="4" t="s">
        <v>51</v>
      </c>
    </row>
    <row r="25" spans="1:1" x14ac:dyDescent="0.45">
      <c r="A25" s="4" t="s">
        <v>56</v>
      </c>
    </row>
    <row r="26" spans="1:1" x14ac:dyDescent="0.45">
      <c r="A26" s="3" t="s">
        <v>21</v>
      </c>
    </row>
    <row r="27" spans="1:1" x14ac:dyDescent="0.45">
      <c r="A27" s="4" t="s">
        <v>22</v>
      </c>
    </row>
    <row r="28" spans="1:1" x14ac:dyDescent="0.45">
      <c r="A28" s="4" t="s">
        <v>57</v>
      </c>
    </row>
    <row r="29" spans="1:1" x14ac:dyDescent="0.45">
      <c r="A29" s="3" t="s">
        <v>35</v>
      </c>
    </row>
    <row r="30" spans="1:1" x14ac:dyDescent="0.45">
      <c r="A30" s="4" t="s">
        <v>36</v>
      </c>
    </row>
    <row r="31" spans="1:1" x14ac:dyDescent="0.45">
      <c r="A31" s="3" t="s">
        <v>37</v>
      </c>
    </row>
    <row r="32" spans="1:1" x14ac:dyDescent="0.45">
      <c r="A32" s="4" t="s">
        <v>38</v>
      </c>
    </row>
    <row r="33" spans="1:1" x14ac:dyDescent="0.45">
      <c r="A33" s="3" t="s">
        <v>19</v>
      </c>
    </row>
    <row r="34" spans="1:1" x14ac:dyDescent="0.45">
      <c r="A34" s="4" t="s">
        <v>20</v>
      </c>
    </row>
    <row r="35" spans="1:1" x14ac:dyDescent="0.45">
      <c r="A35" s="3" t="s">
        <v>44</v>
      </c>
    </row>
    <row r="36" spans="1:1" x14ac:dyDescent="0.45">
      <c r="A36" s="4" t="s">
        <v>45</v>
      </c>
    </row>
    <row r="37" spans="1:1" x14ac:dyDescent="0.45">
      <c r="A37" s="3" t="s">
        <v>46</v>
      </c>
    </row>
    <row r="38" spans="1:1" x14ac:dyDescent="0.45">
      <c r="A38" s="4" t="s">
        <v>47</v>
      </c>
    </row>
    <row r="39" spans="1:1" x14ac:dyDescent="0.45">
      <c r="A39" s="3" t="s">
        <v>23</v>
      </c>
    </row>
    <row r="40" spans="1:1" x14ac:dyDescent="0.45">
      <c r="A40" s="4" t="s">
        <v>24</v>
      </c>
    </row>
    <row r="41" spans="1:1" x14ac:dyDescent="0.45">
      <c r="A41" s="4" t="s">
        <v>52</v>
      </c>
    </row>
    <row r="42" spans="1:1" x14ac:dyDescent="0.45">
      <c r="A42" s="3" t="s">
        <v>53</v>
      </c>
    </row>
    <row r="43" spans="1:1" x14ac:dyDescent="0.45">
      <c r="A43" s="4" t="s">
        <v>54</v>
      </c>
    </row>
    <row r="44" spans="1:1" x14ac:dyDescent="0.45">
      <c r="A44" s="3" t="s">
        <v>39</v>
      </c>
    </row>
    <row r="45" spans="1:1" x14ac:dyDescent="0.45">
      <c r="A45" s="4" t="s">
        <v>40</v>
      </c>
    </row>
    <row r="46" spans="1:1" x14ac:dyDescent="0.45">
      <c r="A46" s="3" t="s">
        <v>59</v>
      </c>
    </row>
  </sheetData>
  <mergeCells count="1">
    <mergeCell ref="C8: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A610-EB7A-4F5B-A5D2-8728E8C7A001}">
  <dimension ref="A1:G11"/>
  <sheetViews>
    <sheetView workbookViewId="0">
      <selection activeCell="H20" sqref="H20"/>
    </sheetView>
  </sheetViews>
  <sheetFormatPr defaultRowHeight="14.25" x14ac:dyDescent="0.45"/>
  <cols>
    <col min="1" max="1" width="18.46484375" bestFit="1" customWidth="1"/>
    <col min="2" max="2" width="14.73046875" bestFit="1" customWidth="1"/>
    <col min="3" max="3" width="6.265625" bestFit="1" customWidth="1"/>
    <col min="4" max="5" width="5.6640625" bestFit="1" customWidth="1"/>
    <col min="6" max="6" width="6.19921875" bestFit="1" customWidth="1"/>
    <col min="7" max="7" width="10.19921875" bestFit="1" customWidth="1"/>
    <col min="8" max="8" width="12.796875" bestFit="1" customWidth="1"/>
  </cols>
  <sheetData>
    <row r="1" spans="1:7" x14ac:dyDescent="0.45">
      <c r="A1" s="2" t="s">
        <v>1</v>
      </c>
      <c r="B1" t="s">
        <v>21</v>
      </c>
    </row>
    <row r="3" spans="1:7" x14ac:dyDescent="0.45">
      <c r="A3" s="2" t="s">
        <v>63</v>
      </c>
      <c r="B3" s="2" t="s">
        <v>62</v>
      </c>
    </row>
    <row r="4" spans="1:7" x14ac:dyDescent="0.45">
      <c r="A4" s="2" t="s">
        <v>58</v>
      </c>
      <c r="B4">
        <v>2018</v>
      </c>
      <c r="C4">
        <v>2019</v>
      </c>
      <c r="D4">
        <v>2020</v>
      </c>
      <c r="E4">
        <v>2021</v>
      </c>
      <c r="F4">
        <v>2022</v>
      </c>
      <c r="G4" t="s">
        <v>59</v>
      </c>
    </row>
    <row r="5" spans="1:7" x14ac:dyDescent="0.45">
      <c r="A5" s="3" t="s">
        <v>22</v>
      </c>
      <c r="B5" s="5"/>
      <c r="C5" s="5">
        <v>-1.8851917463244935E-2</v>
      </c>
      <c r="D5" s="5">
        <v>7.659905577863356E-2</v>
      </c>
      <c r="E5" s="5">
        <v>8.9543837962540954E-3</v>
      </c>
      <c r="F5" s="5">
        <v>6.7382398799515006E-2</v>
      </c>
      <c r="G5" s="5"/>
    </row>
    <row r="6" spans="1:7" x14ac:dyDescent="0.45">
      <c r="A6" s="3" t="s">
        <v>57</v>
      </c>
      <c r="B6" s="5"/>
      <c r="C6" s="5">
        <v>-6.0152376717658426E-2</v>
      </c>
      <c r="D6" s="5">
        <v>1.7745774906480036E-2</v>
      </c>
      <c r="E6" s="5">
        <v>1.2423428548747735E-2</v>
      </c>
      <c r="F6" s="5">
        <v>-9.1123767974869612E-5</v>
      </c>
      <c r="G6" s="5"/>
    </row>
    <row r="7" spans="1:7" x14ac:dyDescent="0.45">
      <c r="A7" s="3" t="s">
        <v>59</v>
      </c>
      <c r="B7" s="5"/>
      <c r="C7" s="5">
        <v>-4.6397507546699364E-2</v>
      </c>
      <c r="D7" s="5">
        <v>3.7912688764357619E-2</v>
      </c>
      <c r="E7" s="5">
        <v>1.1190403666558416E-2</v>
      </c>
      <c r="F7" s="5">
        <v>2.3838392205789781E-2</v>
      </c>
      <c r="G7" s="5"/>
    </row>
    <row r="9" spans="1:7" ht="14.65" thickBot="1" x14ac:dyDescent="0.5"/>
    <row r="10" spans="1:7" x14ac:dyDescent="0.45">
      <c r="A10" s="22" t="s">
        <v>71</v>
      </c>
      <c r="B10" s="23"/>
      <c r="C10" s="24"/>
    </row>
    <row r="11" spans="1:7" ht="14.65" thickBot="1" x14ac:dyDescent="0.5">
      <c r="A11" s="25"/>
      <c r="B11" s="26"/>
      <c r="C11" s="27"/>
    </row>
  </sheetData>
  <mergeCells count="1">
    <mergeCell ref="A10: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8CBF-E51D-47A9-93E6-8BFE1C560758}">
  <dimension ref="A1:G7"/>
  <sheetViews>
    <sheetView workbookViewId="0">
      <selection activeCell="E11" sqref="E11"/>
    </sheetView>
  </sheetViews>
  <sheetFormatPr defaultRowHeight="14.25" x14ac:dyDescent="0.45"/>
  <cols>
    <col min="1" max="1" width="16.6640625" bestFit="1" customWidth="1"/>
    <col min="2" max="2" width="6.9296875" bestFit="1" customWidth="1"/>
  </cols>
  <sheetData>
    <row r="1" spans="1:7" x14ac:dyDescent="0.45">
      <c r="A1" s="2" t="s">
        <v>4</v>
      </c>
      <c r="B1" s="3">
        <v>2023</v>
      </c>
    </row>
    <row r="2" spans="1:7" x14ac:dyDescent="0.45">
      <c r="A2" s="2" t="s">
        <v>5</v>
      </c>
      <c r="B2" s="3">
        <v>3</v>
      </c>
    </row>
    <row r="4" spans="1:7" x14ac:dyDescent="0.45">
      <c r="A4" t="s">
        <v>68</v>
      </c>
    </row>
    <row r="5" spans="1:7" x14ac:dyDescent="0.45">
      <c r="A5" s="9">
        <v>98452905.75</v>
      </c>
    </row>
    <row r="6" spans="1:7" ht="14.65" thickBot="1" x14ac:dyDescent="0.5"/>
    <row r="7" spans="1:7" ht="14.65" thickBot="1" x14ac:dyDescent="0.5">
      <c r="A7" s="28" t="s">
        <v>69</v>
      </c>
      <c r="B7" s="29"/>
      <c r="C7" s="29"/>
      <c r="D7" s="29"/>
      <c r="E7" s="29"/>
      <c r="F7" s="30"/>
      <c r="G7" s="10">
        <v>98452905.75</v>
      </c>
    </row>
  </sheetData>
  <mergeCells count="1">
    <mergeCell ref="A7: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DA1A-7F5C-4D14-AEE2-145A6015831E}">
  <dimension ref="A3:AA32"/>
  <sheetViews>
    <sheetView workbookViewId="0">
      <selection activeCell="R15" sqref="R15"/>
    </sheetView>
  </sheetViews>
  <sheetFormatPr defaultRowHeight="14.25" x14ac:dyDescent="0.45"/>
  <cols>
    <col min="1" max="1" width="18.46484375" bestFit="1" customWidth="1"/>
    <col min="2" max="2" width="14.73046875" bestFit="1" customWidth="1"/>
    <col min="3" max="3" width="6.6640625" bestFit="1" customWidth="1"/>
    <col min="4" max="4" width="8.59765625" bestFit="1" customWidth="1"/>
    <col min="5" max="5" width="6.6640625" bestFit="1" customWidth="1"/>
    <col min="6" max="6" width="13.19921875" bestFit="1" customWidth="1"/>
    <col min="7" max="7" width="11.86328125" bestFit="1" customWidth="1"/>
    <col min="8" max="8" width="10.9296875" bestFit="1" customWidth="1"/>
    <col min="9" max="9" width="5.6640625" bestFit="1" customWidth="1"/>
    <col min="10" max="10" width="7.1328125" bestFit="1" customWidth="1"/>
    <col min="11" max="11" width="14" bestFit="1" customWidth="1"/>
    <col min="12" max="12" width="11.796875" bestFit="1" customWidth="1"/>
    <col min="13" max="13" width="7.796875" bestFit="1" customWidth="1"/>
    <col min="14" max="14" width="8.06640625" bestFit="1" customWidth="1"/>
    <col min="15" max="15" width="8.6640625" bestFit="1" customWidth="1"/>
    <col min="16" max="16" width="7.1328125" bestFit="1" customWidth="1"/>
    <col min="17" max="17" width="11.33203125" bestFit="1" customWidth="1"/>
    <col min="18" max="18" width="8.19921875" bestFit="1" customWidth="1"/>
    <col min="19" max="19" width="10.46484375" bestFit="1" customWidth="1"/>
    <col min="20" max="20" width="13.265625" bestFit="1" customWidth="1"/>
    <col min="21" max="21" width="5.796875" bestFit="1" customWidth="1"/>
    <col min="22" max="22" width="10.53125" bestFit="1" customWidth="1"/>
    <col min="23" max="23" width="12.265625" bestFit="1" customWidth="1"/>
    <col min="24" max="24" width="9.6640625" bestFit="1" customWidth="1"/>
    <col min="25" max="25" width="10.9296875" bestFit="1" customWidth="1"/>
    <col min="26" max="26" width="5.6640625" bestFit="1" customWidth="1"/>
    <col min="27" max="27" width="10.19921875" bestFit="1" customWidth="1"/>
  </cols>
  <sheetData>
    <row r="3" spans="1:27" x14ac:dyDescent="0.45">
      <c r="A3" s="2" t="s">
        <v>63</v>
      </c>
      <c r="B3" s="2" t="s">
        <v>62</v>
      </c>
    </row>
    <row r="4" spans="1:27" x14ac:dyDescent="0.45">
      <c r="A4" s="2" t="s">
        <v>58</v>
      </c>
      <c r="B4" t="s">
        <v>57</v>
      </c>
      <c r="C4" t="s">
        <v>34</v>
      </c>
      <c r="D4" t="s">
        <v>17</v>
      </c>
      <c r="E4" t="s">
        <v>22</v>
      </c>
      <c r="F4" t="s">
        <v>20</v>
      </c>
      <c r="G4" t="s">
        <v>26</v>
      </c>
      <c r="H4" t="s">
        <v>41</v>
      </c>
      <c r="I4" t="s">
        <v>15</v>
      </c>
      <c r="J4" t="s">
        <v>43</v>
      </c>
      <c r="K4" t="s">
        <v>51</v>
      </c>
      <c r="L4" t="s">
        <v>24</v>
      </c>
      <c r="M4" t="s">
        <v>10</v>
      </c>
      <c r="N4" t="s">
        <v>27</v>
      </c>
      <c r="O4" t="s">
        <v>29</v>
      </c>
      <c r="P4" t="s">
        <v>40</v>
      </c>
      <c r="Q4" t="s">
        <v>32</v>
      </c>
      <c r="R4" t="s">
        <v>54</v>
      </c>
      <c r="S4" t="s">
        <v>50</v>
      </c>
      <c r="T4" t="s">
        <v>48</v>
      </c>
      <c r="U4" t="s">
        <v>56</v>
      </c>
      <c r="V4" t="s">
        <v>47</v>
      </c>
      <c r="W4" t="s">
        <v>36</v>
      </c>
      <c r="X4" t="s">
        <v>45</v>
      </c>
      <c r="Y4" t="s">
        <v>38</v>
      </c>
      <c r="Z4" t="s">
        <v>52</v>
      </c>
      <c r="AA4" t="s">
        <v>59</v>
      </c>
    </row>
    <row r="5" spans="1:27" x14ac:dyDescent="0.45">
      <c r="A5" s="3">
        <v>2018</v>
      </c>
      <c r="B5" s="12">
        <v>0.23893362627476761</v>
      </c>
      <c r="C5" s="12">
        <v>0.24638658527854879</v>
      </c>
      <c r="D5" s="12">
        <v>0.12754937759440738</v>
      </c>
      <c r="E5" s="12">
        <v>0.11931132206626169</v>
      </c>
      <c r="F5" s="12">
        <v>4.2104526845521462E-2</v>
      </c>
      <c r="G5" s="12">
        <v>4.6637934782502097E-2</v>
      </c>
      <c r="H5" s="12">
        <v>2.9771546216240334E-2</v>
      </c>
      <c r="I5" s="12">
        <v>3.3728200603644162E-2</v>
      </c>
      <c r="J5" s="12">
        <v>2.8625370903148553E-2</v>
      </c>
      <c r="K5" s="12">
        <v>4.1509525554520024E-3</v>
      </c>
      <c r="L5" s="12">
        <v>1.7584658429132614E-2</v>
      </c>
      <c r="M5" s="12">
        <v>2.1405196106830941E-2</v>
      </c>
      <c r="N5" s="12">
        <v>1.0746180151136597E-2</v>
      </c>
      <c r="O5" s="12">
        <v>5.8849257964876446E-4</v>
      </c>
      <c r="P5" s="12">
        <v>7.9070977713285046E-3</v>
      </c>
      <c r="Q5" s="12">
        <v>0</v>
      </c>
      <c r="R5" s="12">
        <v>5.9910031980130018E-3</v>
      </c>
      <c r="S5" s="12">
        <v>1.1962719595748667E-3</v>
      </c>
      <c r="T5" s="12">
        <v>3.1861221992051875E-3</v>
      </c>
      <c r="U5" s="12">
        <v>3.5312823728125419E-3</v>
      </c>
      <c r="V5" s="12">
        <v>1.2656554063352888E-3</v>
      </c>
      <c r="W5" s="12">
        <v>7.323263444289097E-4</v>
      </c>
      <c r="X5" s="12">
        <v>2.4334057841440926E-3</v>
      </c>
      <c r="Y5" s="12">
        <v>4.7140699169392697E-3</v>
      </c>
      <c r="Z5" s="12">
        <v>1.5187946599753456E-3</v>
      </c>
      <c r="AA5" s="12">
        <v>1</v>
      </c>
    </row>
    <row r="6" spans="1:27" x14ac:dyDescent="0.45">
      <c r="A6" s="3">
        <v>2019</v>
      </c>
      <c r="B6" s="12">
        <v>0.21752099860794299</v>
      </c>
      <c r="C6" s="12">
        <v>0.222631989129527</v>
      </c>
      <c r="D6" s="12">
        <v>0.14634042355648372</v>
      </c>
      <c r="E6" s="12">
        <v>0.11339207012090637</v>
      </c>
      <c r="F6" s="12">
        <v>5.3918943821206933E-2</v>
      </c>
      <c r="G6" s="12">
        <v>3.769889850570577E-2</v>
      </c>
      <c r="H6" s="12">
        <v>2.9143902754705464E-2</v>
      </c>
      <c r="I6" s="12">
        <v>3.3132302411619026E-2</v>
      </c>
      <c r="J6" s="12">
        <v>2.3720144691600199E-2</v>
      </c>
      <c r="K6" s="12">
        <v>9.8629039567745911E-3</v>
      </c>
      <c r="L6" s="12">
        <v>1.8911155731874858E-2</v>
      </c>
      <c r="M6" s="12">
        <v>1.9018917307720252E-2</v>
      </c>
      <c r="N6" s="12">
        <v>1.4647827785489438E-2</v>
      </c>
      <c r="O6" s="12">
        <v>2.0440558136883891E-2</v>
      </c>
      <c r="P6" s="12">
        <v>7.4757062898257141E-3</v>
      </c>
      <c r="Q6" s="12">
        <v>5.2674138731522195E-4</v>
      </c>
      <c r="R6" s="12">
        <v>6.5457947964695506E-3</v>
      </c>
      <c r="S6" s="12">
        <v>2.0406281157516969E-3</v>
      </c>
      <c r="T6" s="12">
        <v>5.2155630152184249E-3</v>
      </c>
      <c r="U6" s="12">
        <v>3.4983892590354079E-3</v>
      </c>
      <c r="V6" s="12">
        <v>3.0641086382341893E-3</v>
      </c>
      <c r="W6" s="12">
        <v>3.3487738063714811E-3</v>
      </c>
      <c r="X6" s="12">
        <v>2.1504252759870762E-3</v>
      </c>
      <c r="Y6" s="12">
        <v>3.4329226032930441E-3</v>
      </c>
      <c r="Z6" s="12">
        <v>2.3199102940576937E-3</v>
      </c>
      <c r="AA6" s="12">
        <v>1</v>
      </c>
    </row>
    <row r="7" spans="1:27" x14ac:dyDescent="0.45">
      <c r="A7" s="3">
        <v>2020</v>
      </c>
      <c r="B7" s="12">
        <v>0.22335757650329049</v>
      </c>
      <c r="C7" s="12">
        <v>0.20944458574807753</v>
      </c>
      <c r="D7" s="12">
        <v>0.15954757259247856</v>
      </c>
      <c r="E7" s="12">
        <v>0.1231677111244002</v>
      </c>
      <c r="F7" s="12">
        <v>5.1789283179524338E-2</v>
      </c>
      <c r="G7" s="12">
        <v>4.1879460734220372E-2</v>
      </c>
      <c r="H7" s="12">
        <v>2.9569827572397143E-2</v>
      </c>
      <c r="I7" s="12">
        <v>3.0564257278210889E-2</v>
      </c>
      <c r="J7" s="12">
        <v>2.047505617142692E-2</v>
      </c>
      <c r="K7" s="12">
        <v>1.2714885287793817E-2</v>
      </c>
      <c r="L7" s="12">
        <v>1.7119546205245927E-2</v>
      </c>
      <c r="M7" s="12">
        <v>1.6990969534049279E-2</v>
      </c>
      <c r="N7" s="12">
        <v>1.512611147680684E-2</v>
      </c>
      <c r="O7" s="12">
        <v>8.4146922025785074E-3</v>
      </c>
      <c r="P7" s="12">
        <v>7.2443010606839447E-3</v>
      </c>
      <c r="Q7" s="12">
        <v>4.4224715646912598E-3</v>
      </c>
      <c r="R7" s="12">
        <v>4.3184030743208075E-3</v>
      </c>
      <c r="S7" s="12">
        <v>2.7634856493191497E-3</v>
      </c>
      <c r="T7" s="12">
        <v>6.6702471278077902E-3</v>
      </c>
      <c r="U7" s="12">
        <v>3.4161300614927144E-3</v>
      </c>
      <c r="V7" s="12">
        <v>3.8840788604800379E-3</v>
      </c>
      <c r="W7" s="12">
        <v>3.9159463414146587E-3</v>
      </c>
      <c r="X7" s="12">
        <v>1.947270808689186E-3</v>
      </c>
      <c r="Y7" s="12">
        <v>8.177722739087231E-4</v>
      </c>
      <c r="Z7" s="12">
        <v>4.3835756669089034E-4</v>
      </c>
      <c r="AA7" s="12">
        <v>1</v>
      </c>
    </row>
    <row r="8" spans="1:27" x14ac:dyDescent="0.45">
      <c r="A8" s="3">
        <v>2021</v>
      </c>
      <c r="B8" s="12">
        <v>0.224102323064961</v>
      </c>
      <c r="C8" s="12">
        <v>0.20953736669612458</v>
      </c>
      <c r="D8" s="12">
        <v>0.16390616159783691</v>
      </c>
      <c r="E8" s="12">
        <v>0.12315495378217035</v>
      </c>
      <c r="F8" s="12">
        <v>6.2925047833421788E-2</v>
      </c>
      <c r="G8" s="12">
        <v>2.9721331618779427E-2</v>
      </c>
      <c r="H8" s="12">
        <v>2.810165756041702E-2</v>
      </c>
      <c r="I8" s="12">
        <v>2.702317519843583E-2</v>
      </c>
      <c r="J8" s="12">
        <v>1.8460469170300736E-2</v>
      </c>
      <c r="K8" s="12">
        <v>2.4241525412038178E-2</v>
      </c>
      <c r="L8" s="12">
        <v>1.6624949382712199E-2</v>
      </c>
      <c r="M8" s="12">
        <v>1.5319404414591875E-2</v>
      </c>
      <c r="N8" s="12">
        <v>1.2164295948070565E-2</v>
      </c>
      <c r="O8" s="12">
        <v>1.522951109658948E-3</v>
      </c>
      <c r="P8" s="12">
        <v>7.4553447310371588E-3</v>
      </c>
      <c r="Q8" s="12">
        <v>7.3385964909900223E-3</v>
      </c>
      <c r="R8" s="12">
        <v>6.3203460442711138E-3</v>
      </c>
      <c r="S8" s="12">
        <v>3.6902970984336596E-3</v>
      </c>
      <c r="T8" s="12">
        <v>6.8737722777691334E-3</v>
      </c>
      <c r="U8" s="12">
        <v>3.334408887095395E-3</v>
      </c>
      <c r="V8" s="12">
        <v>3.6711978778754392E-3</v>
      </c>
      <c r="W8" s="12">
        <v>2.3037000180148475E-3</v>
      </c>
      <c r="X8" s="12">
        <v>2.0042704640498873E-3</v>
      </c>
      <c r="Y8" s="12">
        <v>1.558490065442788E-4</v>
      </c>
      <c r="Z8" s="12">
        <v>4.6604314399833089E-5</v>
      </c>
      <c r="AA8" s="12">
        <v>1</v>
      </c>
    </row>
    <row r="9" spans="1:27" x14ac:dyDescent="0.45">
      <c r="A9" s="3">
        <v>2022</v>
      </c>
      <c r="B9" s="12">
        <v>0.21082810539549909</v>
      </c>
      <c r="C9" s="12">
        <v>0.19176428962759645</v>
      </c>
      <c r="D9" s="12">
        <v>0.18720456909096214</v>
      </c>
      <c r="E9" s="12">
        <v>0.12367833967634967</v>
      </c>
      <c r="F9" s="12">
        <v>6.3140114265998332E-2</v>
      </c>
      <c r="G9" s="12">
        <v>2.1197821661185372E-2</v>
      </c>
      <c r="H9" s="12">
        <v>3.8147589435700596E-2</v>
      </c>
      <c r="I9" s="12">
        <v>2.2912115898460927E-2</v>
      </c>
      <c r="J9" s="12">
        <v>1.5523075811104053E-2</v>
      </c>
      <c r="K9" s="12">
        <v>3.2752477593480683E-2</v>
      </c>
      <c r="L9" s="12">
        <v>1.3524828318974816E-2</v>
      </c>
      <c r="M9" s="12">
        <v>1.1268447307090992E-2</v>
      </c>
      <c r="N9" s="12">
        <v>1.1839651764009196E-2</v>
      </c>
      <c r="O9" s="12">
        <v>6.9090823827851582E-3</v>
      </c>
      <c r="P9" s="12">
        <v>6.7982713565007957E-3</v>
      </c>
      <c r="Q9" s="12">
        <v>1.5275612746357454E-2</v>
      </c>
      <c r="R9" s="12">
        <v>5.4080695831967077E-3</v>
      </c>
      <c r="S9" s="12">
        <v>1.028933997288832E-2</v>
      </c>
      <c r="T9" s="12">
        <v>3.1902851922191509E-4</v>
      </c>
      <c r="U9" s="12">
        <v>3.133911571992496E-3</v>
      </c>
      <c r="V9" s="12">
        <v>3.9348340099550775E-3</v>
      </c>
      <c r="W9" s="12">
        <v>2.3363402739377081E-3</v>
      </c>
      <c r="X9" s="12">
        <v>1.7584548142826988E-3</v>
      </c>
      <c r="Y9" s="12">
        <v>4.9373461308153525E-5</v>
      </c>
      <c r="Z9" s="12">
        <v>6.2554611612140212E-6</v>
      </c>
      <c r="AA9" s="12">
        <v>1</v>
      </c>
    </row>
    <row r="10" spans="1:27" x14ac:dyDescent="0.45">
      <c r="A10" s="3">
        <v>2023</v>
      </c>
      <c r="B10" s="12">
        <v>0.20283260164352532</v>
      </c>
      <c r="C10" s="12">
        <v>0.17748957478905797</v>
      </c>
      <c r="D10" s="12">
        <v>0.18212524496331148</v>
      </c>
      <c r="E10" s="12">
        <v>0.14499272903971849</v>
      </c>
      <c r="F10" s="12">
        <v>8.7842705600267107E-2</v>
      </c>
      <c r="G10" s="12">
        <v>2.0220502923543587E-2</v>
      </c>
      <c r="H10" s="12">
        <v>2.428212443298168E-2</v>
      </c>
      <c r="I10" s="12">
        <v>6.4276912851799423E-3</v>
      </c>
      <c r="J10" s="12">
        <v>1.078840511089546E-2</v>
      </c>
      <c r="K10" s="12">
        <v>4.6794426885858997E-2</v>
      </c>
      <c r="L10" s="12">
        <v>1.2542844136252305E-2</v>
      </c>
      <c r="M10" s="12">
        <v>9.8052368941508941E-3</v>
      </c>
      <c r="N10" s="12">
        <v>1.0473184902594608E-2</v>
      </c>
      <c r="O10" s="12">
        <v>8.5604839529709181E-3</v>
      </c>
      <c r="P10" s="12">
        <v>6.4535406086539812E-3</v>
      </c>
      <c r="Q10" s="12">
        <v>1.852994226959593E-2</v>
      </c>
      <c r="R10" s="12">
        <v>5.1217417467840495E-3</v>
      </c>
      <c r="S10" s="12">
        <v>1.3860302955560991E-2</v>
      </c>
      <c r="T10" s="12">
        <v>2.6072804656811495E-5</v>
      </c>
      <c r="U10" s="12">
        <v>3.2471070919593034E-3</v>
      </c>
      <c r="V10" s="12">
        <v>3.7503122218357655E-3</v>
      </c>
      <c r="W10" s="12">
        <v>2.2057592739662523E-3</v>
      </c>
      <c r="X10" s="12">
        <v>1.5763617695508229E-3</v>
      </c>
      <c r="Y10" s="12">
        <v>5.1102697127350529E-5</v>
      </c>
      <c r="Z10" s="12">
        <v>0</v>
      </c>
      <c r="AA10" s="12">
        <v>1</v>
      </c>
    </row>
    <row r="11" spans="1:27" x14ac:dyDescent="0.45">
      <c r="A11" s="3" t="s">
        <v>59</v>
      </c>
      <c r="B11" s="12">
        <v>0.2215638039373336</v>
      </c>
      <c r="C11" s="12">
        <v>0.21330594298736752</v>
      </c>
      <c r="D11" s="12">
        <v>0.15887386061874542</v>
      </c>
      <c r="E11" s="12">
        <v>0.12197470095190038</v>
      </c>
      <c r="F11" s="12">
        <v>5.6839110826574127E-2</v>
      </c>
      <c r="G11" s="12">
        <v>3.4315153160798875E-2</v>
      </c>
      <c r="H11" s="12">
        <v>3.0661314191606462E-2</v>
      </c>
      <c r="I11" s="12">
        <v>2.8053949333900891E-2</v>
      </c>
      <c r="J11" s="12">
        <v>2.0647780763496364E-2</v>
      </c>
      <c r="K11" s="12">
        <v>1.872776013749012E-2</v>
      </c>
      <c r="L11" s="12">
        <v>1.6469353385094677E-2</v>
      </c>
      <c r="M11" s="12">
        <v>1.6308957388806174E-2</v>
      </c>
      <c r="N11" s="12">
        <v>1.2762606751536435E-2</v>
      </c>
      <c r="O11" s="12">
        <v>7.6630212684373469E-3</v>
      </c>
      <c r="P11" s="12">
        <v>7.3138158219194088E-3</v>
      </c>
      <c r="Q11" s="12">
        <v>6.4044579097800036E-3</v>
      </c>
      <c r="R11" s="12">
        <v>5.6798815016085996E-3</v>
      </c>
      <c r="S11" s="12">
        <v>4.6512346403684212E-3</v>
      </c>
      <c r="T11" s="12">
        <v>4.155546299733812E-3</v>
      </c>
      <c r="U11" s="12">
        <v>3.3712139542359703E-3</v>
      </c>
      <c r="V11" s="12">
        <v>3.2165036210763439E-3</v>
      </c>
      <c r="W11" s="12">
        <v>2.5150758022353375E-3</v>
      </c>
      <c r="X11" s="12">
        <v>2.0256947685549022E-3</v>
      </c>
      <c r="Y11" s="12">
        <v>1.6959581535873106E-3</v>
      </c>
      <c r="Z11" s="12">
        <v>8.0330182381147777E-4</v>
      </c>
      <c r="AA11" s="12">
        <v>1</v>
      </c>
    </row>
    <row r="21" spans="1:1" ht="14.25" customHeight="1" x14ac:dyDescent="0.45">
      <c r="A21" s="31" t="s">
        <v>72</v>
      </c>
    </row>
    <row r="22" spans="1:1" x14ac:dyDescent="0.45">
      <c r="A22" s="31"/>
    </row>
    <row r="23" spans="1:1" x14ac:dyDescent="0.45">
      <c r="A23" s="31"/>
    </row>
    <row r="24" spans="1:1" x14ac:dyDescent="0.45">
      <c r="A24" s="31"/>
    </row>
    <row r="25" spans="1:1" x14ac:dyDescent="0.45">
      <c r="A25" s="11"/>
    </row>
    <row r="27" spans="1:1" x14ac:dyDescent="0.45">
      <c r="A27" s="11"/>
    </row>
    <row r="28" spans="1:1" x14ac:dyDescent="0.45">
      <c r="A28" s="11"/>
    </row>
    <row r="29" spans="1:1" x14ac:dyDescent="0.45">
      <c r="A29" s="11"/>
    </row>
    <row r="30" spans="1:1" x14ac:dyDescent="0.45">
      <c r="A30" s="11"/>
    </row>
    <row r="31" spans="1:1" x14ac:dyDescent="0.45">
      <c r="A31" s="11"/>
    </row>
    <row r="32" spans="1:1" x14ac:dyDescent="0.45">
      <c r="A32" s="11"/>
    </row>
  </sheetData>
  <mergeCells count="1">
    <mergeCell ref="A21:A2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33D7-1BA9-4260-87BE-B63B5A55744C}">
  <dimension ref="A1:M15"/>
  <sheetViews>
    <sheetView workbookViewId="0">
      <selection activeCell="I12" sqref="I12"/>
    </sheetView>
  </sheetViews>
  <sheetFormatPr defaultRowHeight="14.25" x14ac:dyDescent="0.45"/>
  <cols>
    <col min="1" max="1" width="7.73046875" bestFit="1" customWidth="1"/>
    <col min="2" max="2" width="9.59765625" bestFit="1" customWidth="1"/>
    <col min="3" max="3" width="14" bestFit="1" customWidth="1"/>
    <col min="4" max="4" width="22.265625" bestFit="1" customWidth="1"/>
    <col min="5" max="5" width="11.9296875" style="6" bestFit="1" customWidth="1"/>
    <col min="6" max="6" width="10.265625" style="6" bestFit="1" customWidth="1"/>
    <col min="7" max="7" width="7.3984375" style="6" bestFit="1" customWidth="1"/>
    <col min="8" max="8" width="13.73046875" style="13" bestFit="1" customWidth="1"/>
    <col min="9" max="9" width="15" style="6" bestFit="1" customWidth="1"/>
    <col min="10" max="10" width="20.6640625" style="6" bestFit="1" customWidth="1"/>
    <col min="11" max="11" width="22.59765625" style="6" bestFit="1" customWidth="1"/>
    <col min="12" max="12" width="13.6640625" style="17" bestFit="1" customWidth="1"/>
    <col min="13" max="13" width="21.3984375" bestFit="1" customWidth="1"/>
  </cols>
  <sheetData>
    <row r="1" spans="1:13" x14ac:dyDescent="0.45">
      <c r="A1" t="s">
        <v>2</v>
      </c>
      <c r="B1" t="s">
        <v>73</v>
      </c>
      <c r="C1" t="s">
        <v>74</v>
      </c>
      <c r="D1" t="s">
        <v>75</v>
      </c>
      <c r="E1" s="6" t="s">
        <v>76</v>
      </c>
      <c r="F1" s="6" t="s">
        <v>77</v>
      </c>
      <c r="G1" s="6" t="s">
        <v>78</v>
      </c>
      <c r="H1" s="13" t="s">
        <v>79</v>
      </c>
      <c r="I1" s="6" t="s">
        <v>95</v>
      </c>
      <c r="J1" s="6" t="s">
        <v>96</v>
      </c>
      <c r="K1" s="6" t="s">
        <v>97</v>
      </c>
      <c r="L1" s="17" t="s">
        <v>98</v>
      </c>
      <c r="M1" t="s">
        <v>100</v>
      </c>
    </row>
    <row r="2" spans="1:13" x14ac:dyDescent="0.45">
      <c r="A2" t="s">
        <v>57</v>
      </c>
      <c r="B2" t="s">
        <v>80</v>
      </c>
      <c r="C2">
        <v>100</v>
      </c>
      <c r="D2" t="s">
        <v>81</v>
      </c>
      <c r="E2" s="6">
        <v>5</v>
      </c>
      <c r="F2" s="6">
        <v>3.1</v>
      </c>
      <c r="G2" s="6">
        <v>0.9</v>
      </c>
      <c r="H2" s="13">
        <v>1156348</v>
      </c>
      <c r="I2" s="7">
        <f>internal_sales_data[[#This Row],[Net Price]]*internal_sales_data[[#This Row],[Volume 2022]]</f>
        <v>3584678.8000000003</v>
      </c>
      <c r="J2" s="6">
        <f>internal_sales_data[[#This Row],[Net Price]]-internal_sales_data[[#This Row],[COGS]]</f>
        <v>2.2000000000000002</v>
      </c>
      <c r="K2" s="7">
        <f>internal_sales_data[[#This Row],[Gross Profit per unit]]*internal_sales_data[[#This Row],[Volume 2022]]</f>
        <v>2543965.6</v>
      </c>
      <c r="L2" s="17">
        <f>internal_sales_data[[#This Row],[Gross Profit per product]]/internal_sales_data[[#This Row],[Net Sales 2022]]</f>
        <v>0.70967741935483863</v>
      </c>
      <c r="M2" s="17">
        <f>internal_sales_data[[#This Row],[Net Sales 2022]]/internal_sales_data[[#Totals],[Net Sales 2022]]</f>
        <v>0.17502703482289086</v>
      </c>
    </row>
    <row r="3" spans="1:13" x14ac:dyDescent="0.45">
      <c r="A3" t="s">
        <v>57</v>
      </c>
      <c r="B3" t="s">
        <v>82</v>
      </c>
      <c r="C3">
        <v>100</v>
      </c>
      <c r="D3" t="s">
        <v>83</v>
      </c>
      <c r="E3" s="6">
        <v>5</v>
      </c>
      <c r="F3" s="6">
        <v>2.9</v>
      </c>
      <c r="G3" s="6">
        <v>0.95</v>
      </c>
      <c r="H3" s="13">
        <v>693809</v>
      </c>
      <c r="I3" s="7">
        <f>internal_sales_data[[#This Row],[Net Price]]*internal_sales_data[[#This Row],[Volume 2022]]</f>
        <v>2012046.0999999999</v>
      </c>
      <c r="J3" s="6">
        <f>internal_sales_data[[#This Row],[Net Price]]-internal_sales_data[[#This Row],[COGS]]</f>
        <v>1.95</v>
      </c>
      <c r="K3" s="7">
        <f>internal_sales_data[[#This Row],[Gross Profit per unit]]*internal_sales_data[[#This Row],[Volume 2022]]</f>
        <v>1352927.55</v>
      </c>
      <c r="L3" s="17">
        <f>internal_sales_data[[#This Row],[Gross Profit per product]]/internal_sales_data[[#This Row],[Net Sales 2022]]</f>
        <v>0.6724137931034484</v>
      </c>
      <c r="M3" s="17">
        <f>internal_sales_data[[#This Row],[Net Sales 2022]]/internal_sales_data[[#Totals],[Net Sales 2022]]</f>
        <v>9.8241009155398171E-2</v>
      </c>
    </row>
    <row r="4" spans="1:13" x14ac:dyDescent="0.45">
      <c r="A4" t="s">
        <v>57</v>
      </c>
      <c r="B4" t="s">
        <v>84</v>
      </c>
      <c r="C4">
        <v>100</v>
      </c>
      <c r="D4" t="s">
        <v>85</v>
      </c>
      <c r="E4" s="6">
        <v>5</v>
      </c>
      <c r="F4" s="6">
        <v>2.8</v>
      </c>
      <c r="G4" s="6">
        <v>1</v>
      </c>
      <c r="H4" s="13">
        <v>346904</v>
      </c>
      <c r="I4" s="7">
        <f>internal_sales_data[[#This Row],[Net Price]]*internal_sales_data[[#This Row],[Volume 2022]]</f>
        <v>971331.2</v>
      </c>
      <c r="J4" s="6">
        <f>internal_sales_data[[#This Row],[Net Price]]-internal_sales_data[[#This Row],[COGS]]</f>
        <v>1.7999999999999998</v>
      </c>
      <c r="K4" s="7">
        <f>internal_sales_data[[#This Row],[Gross Profit per unit]]*internal_sales_data[[#This Row],[Volume 2022]]</f>
        <v>624427.19999999995</v>
      </c>
      <c r="L4" s="17">
        <f>internal_sales_data[[#This Row],[Gross Profit per product]]/internal_sales_data[[#This Row],[Net Sales 2022]]</f>
        <v>0.64285714285714279</v>
      </c>
      <c r="M4" s="17">
        <f>internal_sales_data[[#This Row],[Net Sales 2022]]/internal_sales_data[[#Totals],[Net Sales 2022]]</f>
        <v>4.7426625718030961E-2</v>
      </c>
    </row>
    <row r="5" spans="1:13" x14ac:dyDescent="0.45">
      <c r="A5" t="s">
        <v>57</v>
      </c>
      <c r="B5" t="s">
        <v>80</v>
      </c>
      <c r="C5">
        <v>150</v>
      </c>
      <c r="D5" t="s">
        <v>86</v>
      </c>
      <c r="E5" s="6">
        <v>7</v>
      </c>
      <c r="F5" s="6">
        <v>3.5</v>
      </c>
      <c r="G5" s="6">
        <v>1.2</v>
      </c>
      <c r="H5" s="13">
        <v>693809</v>
      </c>
      <c r="I5" s="7">
        <f>internal_sales_data[[#This Row],[Net Price]]*internal_sales_data[[#This Row],[Volume 2022]]</f>
        <v>2428331.5</v>
      </c>
      <c r="J5" s="6">
        <f>internal_sales_data[[#This Row],[Net Price]]-internal_sales_data[[#This Row],[COGS]]</f>
        <v>2.2999999999999998</v>
      </c>
      <c r="K5" s="7">
        <f>internal_sales_data[[#This Row],[Gross Profit per unit]]*internal_sales_data[[#This Row],[Volume 2022]]</f>
        <v>1595760.7</v>
      </c>
      <c r="L5" s="17">
        <f>internal_sales_data[[#This Row],[Gross Profit per product]]/internal_sales_data[[#This Row],[Net Sales 2022]]</f>
        <v>0.65714285714285714</v>
      </c>
      <c r="M5" s="17">
        <f>internal_sales_data[[#This Row],[Net Sales 2022]]/internal_sales_data[[#Totals],[Net Sales 2022]]</f>
        <v>0.11856673518754952</v>
      </c>
    </row>
    <row r="6" spans="1:13" x14ac:dyDescent="0.45">
      <c r="A6" t="s">
        <v>57</v>
      </c>
      <c r="B6" t="s">
        <v>84</v>
      </c>
      <c r="C6">
        <v>150</v>
      </c>
      <c r="D6" t="s">
        <v>87</v>
      </c>
      <c r="E6" s="6">
        <v>7.25</v>
      </c>
      <c r="F6" s="6">
        <v>3.7</v>
      </c>
      <c r="G6" s="6">
        <v>1.3</v>
      </c>
      <c r="H6" s="13">
        <v>231270</v>
      </c>
      <c r="I6" s="7">
        <f>internal_sales_data[[#This Row],[Net Price]]*internal_sales_data[[#This Row],[Volume 2022]]</f>
        <v>855699</v>
      </c>
      <c r="J6" s="6">
        <f>internal_sales_data[[#This Row],[Net Price]]-internal_sales_data[[#This Row],[COGS]]</f>
        <v>2.4000000000000004</v>
      </c>
      <c r="K6" s="7">
        <f>internal_sales_data[[#This Row],[Gross Profit per unit]]*internal_sales_data[[#This Row],[Volume 2022]]</f>
        <v>555048.00000000012</v>
      </c>
      <c r="L6" s="17">
        <f>internal_sales_data[[#This Row],[Gross Profit per product]]/internal_sales_data[[#This Row],[Net Sales 2022]]</f>
        <v>0.6486486486486488</v>
      </c>
      <c r="M6" s="17">
        <f>internal_sales_data[[#This Row],[Net Sales 2022]]/internal_sales_data[[#Totals],[Net Sales 2022]]</f>
        <v>4.178071928534096E-2</v>
      </c>
    </row>
    <row r="7" spans="1:13" x14ac:dyDescent="0.45">
      <c r="A7" t="s">
        <v>57</v>
      </c>
      <c r="B7" t="s">
        <v>80</v>
      </c>
      <c r="C7">
        <v>200</v>
      </c>
      <c r="D7" t="s">
        <v>88</v>
      </c>
      <c r="E7" s="6">
        <v>9</v>
      </c>
      <c r="F7" s="6">
        <v>5</v>
      </c>
      <c r="G7" s="6">
        <v>1.5</v>
      </c>
      <c r="H7" s="13">
        <v>289087</v>
      </c>
      <c r="I7" s="7">
        <f>internal_sales_data[[#This Row],[Net Price]]*internal_sales_data[[#This Row],[Volume 2022]]</f>
        <v>1445435</v>
      </c>
      <c r="J7" s="6">
        <f>internal_sales_data[[#This Row],[Net Price]]-internal_sales_data[[#This Row],[COGS]]</f>
        <v>3.5</v>
      </c>
      <c r="K7" s="7">
        <f>internal_sales_data[[#This Row],[Gross Profit per unit]]*internal_sales_data[[#This Row],[Volume 2022]]</f>
        <v>1011804.5</v>
      </c>
      <c r="L7" s="17">
        <f>internal_sales_data[[#This Row],[Gross Profit per product]]/internal_sales_data[[#This Row],[Net Sales 2022]]</f>
        <v>0.7</v>
      </c>
      <c r="M7" s="17">
        <f>internal_sales_data[[#This Row],[Net Sales 2022]]/internal_sales_data[[#Totals],[Net Sales 2022]]</f>
        <v>7.0575417267294702E-2</v>
      </c>
    </row>
    <row r="8" spans="1:13" x14ac:dyDescent="0.45">
      <c r="A8" t="s">
        <v>22</v>
      </c>
      <c r="B8" t="s">
        <v>89</v>
      </c>
      <c r="C8">
        <v>100</v>
      </c>
      <c r="D8" t="s">
        <v>90</v>
      </c>
      <c r="E8" s="6">
        <v>6</v>
      </c>
      <c r="F8" s="6">
        <v>3.5</v>
      </c>
      <c r="G8" s="6">
        <v>1.1499999999999999</v>
      </c>
      <c r="H8" s="13">
        <v>1089532</v>
      </c>
      <c r="I8" s="7">
        <f>internal_sales_data[[#This Row],[Net Price]]*internal_sales_data[[#This Row],[Volume 2022]]</f>
        <v>3813362</v>
      </c>
      <c r="J8" s="6">
        <f>internal_sales_data[[#This Row],[Net Price]]-internal_sales_data[[#This Row],[COGS]]</f>
        <v>2.35</v>
      </c>
      <c r="K8" s="7">
        <f>internal_sales_data[[#This Row],[Gross Profit per unit]]*internal_sales_data[[#This Row],[Volume 2022]]</f>
        <v>2560400.2000000002</v>
      </c>
      <c r="L8" s="17">
        <f>internal_sales_data[[#This Row],[Gross Profit per product]]/internal_sales_data[[#This Row],[Net Sales 2022]]</f>
        <v>0.67142857142857149</v>
      </c>
      <c r="M8" s="17">
        <f>internal_sales_data[[#This Row],[Net Sales 2022]]/internal_sales_data[[#Totals],[Net Sales 2022]]</f>
        <v>0.18619281693140505</v>
      </c>
    </row>
    <row r="9" spans="1:13" x14ac:dyDescent="0.45">
      <c r="A9" t="s">
        <v>22</v>
      </c>
      <c r="B9" t="s">
        <v>89</v>
      </c>
      <c r="C9">
        <v>125</v>
      </c>
      <c r="D9" t="s">
        <v>91</v>
      </c>
      <c r="E9" s="6">
        <v>7</v>
      </c>
      <c r="F9" s="6">
        <v>4.25</v>
      </c>
      <c r="G9" s="6">
        <v>1.3</v>
      </c>
      <c r="H9" s="13">
        <v>466942</v>
      </c>
      <c r="I9" s="7">
        <f>internal_sales_data[[#This Row],[Net Price]]*internal_sales_data[[#This Row],[Volume 2022]]</f>
        <v>1984503.5</v>
      </c>
      <c r="J9" s="6">
        <f>internal_sales_data[[#This Row],[Net Price]]-internal_sales_data[[#This Row],[COGS]]</f>
        <v>2.95</v>
      </c>
      <c r="K9" s="7">
        <f>internal_sales_data[[#This Row],[Gross Profit per unit]]*internal_sales_data[[#This Row],[Volume 2022]]</f>
        <v>1377478.9000000001</v>
      </c>
      <c r="L9" s="17">
        <f>internal_sales_data[[#This Row],[Gross Profit per product]]/internal_sales_data[[#This Row],[Net Sales 2022]]</f>
        <v>0.69411764705882362</v>
      </c>
      <c r="M9" s="17">
        <f>internal_sales_data[[#This Row],[Net Sales 2022]]/internal_sales_data[[#Totals],[Net Sales 2022]]</f>
        <v>9.6896202583240873E-2</v>
      </c>
    </row>
    <row r="10" spans="1:13" x14ac:dyDescent="0.45">
      <c r="A10" t="s">
        <v>22</v>
      </c>
      <c r="B10" t="s">
        <v>89</v>
      </c>
      <c r="C10">
        <v>150</v>
      </c>
      <c r="D10" t="s">
        <v>92</v>
      </c>
      <c r="E10" s="6">
        <v>8</v>
      </c>
      <c r="F10" s="6">
        <v>5.0999999999999996</v>
      </c>
      <c r="G10" s="6">
        <v>1.5</v>
      </c>
      <c r="H10" s="13">
        <v>389118</v>
      </c>
      <c r="I10" s="7">
        <f>internal_sales_data[[#This Row],[Net Price]]*internal_sales_data[[#This Row],[Volume 2022]]</f>
        <v>1984501.7999999998</v>
      </c>
      <c r="J10" s="6">
        <f>internal_sales_data[[#This Row],[Net Price]]-internal_sales_data[[#This Row],[COGS]]</f>
        <v>3.5999999999999996</v>
      </c>
      <c r="K10" s="7">
        <f>internal_sales_data[[#This Row],[Gross Profit per unit]]*internal_sales_data[[#This Row],[Volume 2022]]</f>
        <v>1400824.7999999998</v>
      </c>
      <c r="L10" s="17">
        <f>internal_sales_data[[#This Row],[Gross Profit per product]]/internal_sales_data[[#This Row],[Net Sales 2022]]</f>
        <v>0.70588235294117641</v>
      </c>
      <c r="M10" s="17">
        <f>internal_sales_data[[#This Row],[Net Sales 2022]]/internal_sales_data[[#Totals],[Net Sales 2022]]</f>
        <v>9.6896119578325834E-2</v>
      </c>
    </row>
    <row r="11" spans="1:13" x14ac:dyDescent="0.45">
      <c r="A11" t="s">
        <v>22</v>
      </c>
      <c r="B11" t="s">
        <v>89</v>
      </c>
      <c r="C11">
        <v>200</v>
      </c>
      <c r="D11" t="s">
        <v>93</v>
      </c>
      <c r="E11" s="6">
        <v>10</v>
      </c>
      <c r="F11" s="6">
        <v>6</v>
      </c>
      <c r="G11" s="6">
        <v>1.7</v>
      </c>
      <c r="H11" s="13">
        <v>233471</v>
      </c>
      <c r="I11" s="7">
        <f>internal_sales_data[[#This Row],[Net Price]]*internal_sales_data[[#This Row],[Volume 2022]]</f>
        <v>1400826</v>
      </c>
      <c r="J11" s="6">
        <f>internal_sales_data[[#This Row],[Net Price]]-internal_sales_data[[#This Row],[COGS]]</f>
        <v>4.3</v>
      </c>
      <c r="K11" s="7">
        <f>internal_sales_data[[#This Row],[Gross Profit per unit]]*internal_sales_data[[#This Row],[Volume 2022]]</f>
        <v>1003925.2999999999</v>
      </c>
      <c r="L11" s="17">
        <f>internal_sales_data[[#This Row],[Gross Profit per product]]/internal_sales_data[[#This Row],[Net Sales 2022]]</f>
        <v>0.71666666666666656</v>
      </c>
      <c r="M11" s="17">
        <f>internal_sales_data[[#This Row],[Net Sales 2022]]/internal_sales_data[[#Totals],[Net Sales 2022]]</f>
        <v>6.8397319470522966E-2</v>
      </c>
    </row>
    <row r="12" spans="1:13" x14ac:dyDescent="0.45">
      <c r="A12" t="s">
        <v>94</v>
      </c>
      <c r="E12"/>
      <c r="F12"/>
      <c r="G12"/>
      <c r="H12" s="15">
        <f>SUBTOTAL(109,internal_sales_data[Volume 2022])</f>
        <v>5590290</v>
      </c>
      <c r="I12" s="7">
        <f>SUBTOTAL(109,internal_sales_data[Net Sales 2022])</f>
        <v>20480714.900000002</v>
      </c>
      <c r="J12" s="16"/>
      <c r="K12" s="7">
        <f>SUBTOTAL(109,internal_sales_data[Gross Profit per product])</f>
        <v>14026562.75</v>
      </c>
      <c r="L12" s="18">
        <f>internal_sales_data[[#Totals],[Gross Profit per product]]/internal_sales_data[[#Totals],[Net Sales 2022]]</f>
        <v>0.68486685247495915</v>
      </c>
    </row>
    <row r="13" spans="1:13" ht="14.65" thickBot="1" x14ac:dyDescent="0.5"/>
    <row r="14" spans="1:13" x14ac:dyDescent="0.45">
      <c r="I14" s="32" t="s">
        <v>99</v>
      </c>
      <c r="J14" s="33"/>
      <c r="K14" s="33"/>
      <c r="L14" s="34"/>
    </row>
    <row r="15" spans="1:13" ht="14.65" thickBot="1" x14ac:dyDescent="0.5">
      <c r="I15" s="35"/>
      <c r="J15" s="36"/>
      <c r="K15" s="36"/>
      <c r="L15" s="37"/>
    </row>
  </sheetData>
  <mergeCells count="1">
    <mergeCell ref="I14:L15"/>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E036-CEAB-4F97-8224-ED33A494ADEC}">
  <dimension ref="A3:V26"/>
  <sheetViews>
    <sheetView workbookViewId="0">
      <selection activeCell="U18" sqref="U18"/>
    </sheetView>
  </sheetViews>
  <sheetFormatPr defaultRowHeight="14.25" x14ac:dyDescent="0.45"/>
  <cols>
    <col min="1" max="1" width="25.53125" bestFit="1" customWidth="1"/>
    <col min="2" max="2" width="14.73046875" bestFit="1" customWidth="1"/>
    <col min="3" max="11" width="4.1328125" bestFit="1" customWidth="1"/>
    <col min="12" max="12" width="10.19921875" bestFit="1" customWidth="1"/>
  </cols>
  <sheetData>
    <row r="3" spans="1:22" x14ac:dyDescent="0.45">
      <c r="A3" s="2" t="s">
        <v>101</v>
      </c>
      <c r="B3" s="2" t="s">
        <v>62</v>
      </c>
    </row>
    <row r="4" spans="1:22" x14ac:dyDescent="0.45">
      <c r="A4" s="2" t="s">
        <v>58</v>
      </c>
      <c r="B4" s="12">
        <v>0.64285714285714279</v>
      </c>
      <c r="C4" s="12">
        <v>0.6486486486486488</v>
      </c>
      <c r="D4" s="12">
        <v>0.65714285714285714</v>
      </c>
      <c r="E4" s="12">
        <v>0.67142857142857149</v>
      </c>
      <c r="F4" s="12">
        <v>0.6724137931034484</v>
      </c>
      <c r="G4" s="12">
        <v>0.69411764705882362</v>
      </c>
      <c r="H4" s="12">
        <v>0.7</v>
      </c>
      <c r="I4" s="12">
        <v>0.70588235294117641</v>
      </c>
      <c r="J4" s="12">
        <v>0.70967741935483863</v>
      </c>
      <c r="K4" s="12">
        <v>0.71666666666666656</v>
      </c>
    </row>
    <row r="5" spans="1:22" x14ac:dyDescent="0.45">
      <c r="A5" s="3" t="s">
        <v>90</v>
      </c>
      <c r="B5" s="12"/>
      <c r="C5" s="12"/>
      <c r="D5" s="12"/>
      <c r="E5" s="12">
        <v>0.18619281693140505</v>
      </c>
      <c r="F5" s="12"/>
      <c r="G5" s="12"/>
      <c r="H5" s="12"/>
      <c r="I5" s="12"/>
      <c r="J5" s="12"/>
      <c r="K5" s="12"/>
    </row>
    <row r="6" spans="1:22" x14ac:dyDescent="0.45">
      <c r="A6" s="3" t="s">
        <v>91</v>
      </c>
      <c r="B6" s="12"/>
      <c r="C6" s="12"/>
      <c r="D6" s="12"/>
      <c r="E6" s="12"/>
      <c r="F6" s="12"/>
      <c r="G6" s="12">
        <v>9.6896202583240873E-2</v>
      </c>
      <c r="H6" s="12"/>
      <c r="I6" s="12"/>
      <c r="J6" s="12"/>
      <c r="K6" s="12"/>
    </row>
    <row r="7" spans="1:22" x14ac:dyDescent="0.45">
      <c r="A7" s="3" t="s">
        <v>92</v>
      </c>
      <c r="B7" s="12"/>
      <c r="C7" s="12"/>
      <c r="D7" s="12"/>
      <c r="E7" s="12"/>
      <c r="F7" s="12"/>
      <c r="G7" s="12"/>
      <c r="H7" s="12"/>
      <c r="I7" s="12">
        <v>9.6896119578325834E-2</v>
      </c>
      <c r="J7" s="12"/>
      <c r="K7" s="12"/>
    </row>
    <row r="8" spans="1:22" ht="14.25" customHeight="1" x14ac:dyDescent="0.45">
      <c r="A8" s="3" t="s">
        <v>93</v>
      </c>
      <c r="B8" s="12"/>
      <c r="C8" s="12"/>
      <c r="D8" s="12"/>
      <c r="E8" s="12"/>
      <c r="F8" s="12"/>
      <c r="G8" s="12"/>
      <c r="H8" s="12"/>
      <c r="I8" s="12"/>
      <c r="J8" s="12"/>
      <c r="K8" s="12">
        <v>6.8397319470522966E-2</v>
      </c>
      <c r="T8" s="31" t="s">
        <v>137</v>
      </c>
      <c r="U8" s="31"/>
      <c r="V8" s="31"/>
    </row>
    <row r="9" spans="1:22" x14ac:dyDescent="0.45">
      <c r="A9" s="3" t="s">
        <v>83</v>
      </c>
      <c r="B9" s="12"/>
      <c r="C9" s="12"/>
      <c r="D9" s="12"/>
      <c r="E9" s="12"/>
      <c r="F9" s="12">
        <v>9.8241009155398171E-2</v>
      </c>
      <c r="G9" s="12"/>
      <c r="H9" s="12"/>
      <c r="I9" s="12"/>
      <c r="J9" s="12"/>
      <c r="K9" s="12"/>
      <c r="T9" s="31"/>
      <c r="U9" s="31"/>
      <c r="V9" s="31"/>
    </row>
    <row r="10" spans="1:22" x14ac:dyDescent="0.45">
      <c r="A10" s="3" t="s">
        <v>85</v>
      </c>
      <c r="B10" s="12">
        <v>4.7426625718030961E-2</v>
      </c>
      <c r="C10" s="12"/>
      <c r="D10" s="12"/>
      <c r="E10" s="12"/>
      <c r="F10" s="12"/>
      <c r="G10" s="12"/>
      <c r="H10" s="12"/>
      <c r="I10" s="12"/>
      <c r="J10" s="12"/>
      <c r="K10" s="12"/>
      <c r="T10" s="31"/>
      <c r="U10" s="31"/>
      <c r="V10" s="31"/>
    </row>
    <row r="11" spans="1:22" x14ac:dyDescent="0.45">
      <c r="A11" s="3" t="s">
        <v>87</v>
      </c>
      <c r="B11" s="12"/>
      <c r="C11" s="12">
        <v>4.178071928534096E-2</v>
      </c>
      <c r="D11" s="12"/>
      <c r="E11" s="12"/>
      <c r="F11" s="12"/>
      <c r="G11" s="12"/>
      <c r="H11" s="12"/>
      <c r="I11" s="12"/>
      <c r="J11" s="12"/>
      <c r="K11" s="12"/>
      <c r="T11" s="31"/>
      <c r="U11" s="31"/>
      <c r="V11" s="31"/>
    </row>
    <row r="12" spans="1:22" x14ac:dyDescent="0.45">
      <c r="A12" s="3" t="s">
        <v>81</v>
      </c>
      <c r="B12" s="12"/>
      <c r="C12" s="12"/>
      <c r="D12" s="12"/>
      <c r="E12" s="12"/>
      <c r="F12" s="12"/>
      <c r="G12" s="12"/>
      <c r="H12" s="12"/>
      <c r="I12" s="12"/>
      <c r="J12" s="12">
        <v>0.17502703482289086</v>
      </c>
      <c r="K12" s="12"/>
      <c r="T12" s="31"/>
      <c r="U12" s="31"/>
      <c r="V12" s="31"/>
    </row>
    <row r="13" spans="1:22" x14ac:dyDescent="0.45">
      <c r="A13" s="3" t="s">
        <v>86</v>
      </c>
      <c r="B13" s="12"/>
      <c r="C13" s="12"/>
      <c r="D13" s="12">
        <v>0.11856673518754952</v>
      </c>
      <c r="E13" s="12"/>
      <c r="F13" s="12"/>
      <c r="G13" s="12"/>
      <c r="H13" s="12"/>
      <c r="I13" s="12"/>
      <c r="J13" s="12"/>
      <c r="K13" s="12"/>
      <c r="T13" s="31"/>
      <c r="U13" s="31"/>
      <c r="V13" s="31"/>
    </row>
    <row r="14" spans="1:22" x14ac:dyDescent="0.45">
      <c r="A14" s="3" t="s">
        <v>88</v>
      </c>
      <c r="B14" s="12"/>
      <c r="C14" s="12"/>
      <c r="D14" s="12"/>
      <c r="E14" s="12"/>
      <c r="F14" s="12"/>
      <c r="G14" s="12"/>
      <c r="H14" s="12">
        <v>7.0575417267294702E-2</v>
      </c>
      <c r="I14" s="12"/>
      <c r="J14" s="12"/>
      <c r="K14" s="12"/>
      <c r="T14" s="31"/>
      <c r="U14" s="31"/>
      <c r="V14" s="31"/>
    </row>
    <row r="15" spans="1:22" x14ac:dyDescent="0.45">
      <c r="T15" s="31"/>
      <c r="U15" s="31"/>
      <c r="V15" s="31"/>
    </row>
    <row r="16" spans="1:22" x14ac:dyDescent="0.45">
      <c r="A16" t="s">
        <v>58</v>
      </c>
      <c r="B16" s="17">
        <v>0.64285714285714279</v>
      </c>
      <c r="C16" s="17">
        <v>0.6486486486486488</v>
      </c>
      <c r="D16" s="17">
        <v>0.65714285714285714</v>
      </c>
      <c r="E16" s="17">
        <v>0.67142857142857149</v>
      </c>
      <c r="F16" s="17">
        <v>0.6724137931034484</v>
      </c>
      <c r="G16" s="17">
        <v>0.69411764705882362</v>
      </c>
      <c r="H16" s="17">
        <v>0.7</v>
      </c>
      <c r="I16" s="17">
        <v>0.70588235294117641</v>
      </c>
      <c r="J16" s="17">
        <v>0.70967741935483863</v>
      </c>
      <c r="K16" s="17">
        <v>0.71666666666666656</v>
      </c>
      <c r="T16" s="11"/>
      <c r="U16" s="11"/>
      <c r="V16" s="11"/>
    </row>
    <row r="17" spans="1:11" x14ac:dyDescent="0.45">
      <c r="A17" t="s">
        <v>90</v>
      </c>
      <c r="B17" s="17"/>
      <c r="C17" s="17"/>
      <c r="D17" s="17"/>
      <c r="E17" s="17">
        <v>0.18619281693140505</v>
      </c>
      <c r="F17" s="17"/>
      <c r="G17" s="17"/>
      <c r="H17" s="17"/>
      <c r="I17" s="17"/>
      <c r="J17" s="17"/>
      <c r="K17" s="17"/>
    </row>
    <row r="18" spans="1:11" x14ac:dyDescent="0.45">
      <c r="A18" t="s">
        <v>91</v>
      </c>
      <c r="B18" s="17"/>
      <c r="C18" s="17"/>
      <c r="D18" s="17"/>
      <c r="E18" s="17"/>
      <c r="F18" s="17"/>
      <c r="G18" s="17">
        <v>9.6896202583240873E-2</v>
      </c>
      <c r="H18" s="17"/>
      <c r="I18" s="17"/>
      <c r="J18" s="17"/>
      <c r="K18" s="17"/>
    </row>
    <row r="19" spans="1:11" x14ac:dyDescent="0.45">
      <c r="A19" t="s">
        <v>92</v>
      </c>
      <c r="B19" s="17"/>
      <c r="C19" s="17"/>
      <c r="D19" s="17"/>
      <c r="E19" s="17"/>
      <c r="F19" s="17"/>
      <c r="G19" s="17"/>
      <c r="H19" s="17"/>
      <c r="I19" s="17">
        <v>9.6896119578325834E-2</v>
      </c>
      <c r="J19" s="17"/>
      <c r="K19" s="17"/>
    </row>
    <row r="20" spans="1:11" x14ac:dyDescent="0.45">
      <c r="A20" t="s">
        <v>93</v>
      </c>
      <c r="B20" s="17"/>
      <c r="C20" s="17"/>
      <c r="D20" s="17"/>
      <c r="E20" s="17"/>
      <c r="F20" s="17"/>
      <c r="G20" s="17"/>
      <c r="H20" s="17"/>
      <c r="I20" s="17"/>
      <c r="J20" s="17"/>
      <c r="K20" s="17">
        <v>6.8397319470522966E-2</v>
      </c>
    </row>
    <row r="21" spans="1:11" x14ac:dyDescent="0.45">
      <c r="A21" t="s">
        <v>83</v>
      </c>
      <c r="B21" s="17"/>
      <c r="C21" s="17"/>
      <c r="D21" s="17"/>
      <c r="E21" s="17"/>
      <c r="F21" s="17">
        <v>9.8241009155398171E-2</v>
      </c>
      <c r="G21" s="17"/>
      <c r="H21" s="17"/>
      <c r="I21" s="17"/>
      <c r="J21" s="17"/>
      <c r="K21" s="17"/>
    </row>
    <row r="22" spans="1:11" x14ac:dyDescent="0.45">
      <c r="A22" t="s">
        <v>85</v>
      </c>
      <c r="B22" s="17">
        <v>4.7426625718030961E-2</v>
      </c>
      <c r="C22" s="17"/>
      <c r="D22" s="17"/>
      <c r="E22" s="17"/>
      <c r="F22" s="17"/>
      <c r="G22" s="17"/>
      <c r="H22" s="17"/>
      <c r="I22" s="17"/>
      <c r="J22" s="17"/>
      <c r="K22" s="17"/>
    </row>
    <row r="23" spans="1:11" x14ac:dyDescent="0.45">
      <c r="A23" t="s">
        <v>87</v>
      </c>
      <c r="B23" s="17"/>
      <c r="C23" s="17">
        <v>4.178071928534096E-2</v>
      </c>
      <c r="D23" s="17"/>
      <c r="E23" s="17"/>
      <c r="F23" s="17"/>
      <c r="G23" s="17"/>
      <c r="H23" s="17"/>
      <c r="I23" s="17"/>
      <c r="J23" s="17"/>
      <c r="K23" s="17"/>
    </row>
    <row r="24" spans="1:11" x14ac:dyDescent="0.45">
      <c r="A24" t="s">
        <v>81</v>
      </c>
      <c r="B24" s="17"/>
      <c r="C24" s="17"/>
      <c r="D24" s="17"/>
      <c r="E24" s="17"/>
      <c r="F24" s="17"/>
      <c r="G24" s="17"/>
      <c r="H24" s="17"/>
      <c r="I24" s="17"/>
      <c r="J24" s="17">
        <v>0.17502703482289086</v>
      </c>
      <c r="K24" s="17"/>
    </row>
    <row r="25" spans="1:11" x14ac:dyDescent="0.45">
      <c r="A25" t="s">
        <v>86</v>
      </c>
      <c r="B25" s="17"/>
      <c r="C25" s="17"/>
      <c r="D25" s="17">
        <v>0.11856673518754952</v>
      </c>
      <c r="E25" s="17"/>
      <c r="F25" s="17"/>
      <c r="G25" s="17"/>
      <c r="H25" s="17"/>
      <c r="I25" s="17"/>
      <c r="J25" s="17"/>
      <c r="K25" s="17"/>
    </row>
    <row r="26" spans="1:11" x14ac:dyDescent="0.45">
      <c r="A26" t="s">
        <v>88</v>
      </c>
      <c r="B26" s="17"/>
      <c r="C26" s="17"/>
      <c r="D26" s="17"/>
      <c r="E26" s="17"/>
      <c r="F26" s="17"/>
      <c r="G26" s="17"/>
      <c r="H26" s="17">
        <v>7.0575417267294702E-2</v>
      </c>
      <c r="I26" s="17"/>
      <c r="J26" s="17"/>
      <c r="K26" s="17"/>
    </row>
  </sheetData>
  <mergeCells count="1">
    <mergeCell ref="T8:V1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60B3-77EE-4A5C-937D-A158945F218F}">
  <dimension ref="A3:I17"/>
  <sheetViews>
    <sheetView workbookViewId="0">
      <selection activeCell="C17" sqref="C17"/>
    </sheetView>
  </sheetViews>
  <sheetFormatPr defaultRowHeight="14.25" x14ac:dyDescent="0.45"/>
  <cols>
    <col min="1" max="1" width="12.06640625" bestFit="1" customWidth="1"/>
    <col min="2" max="2" width="23.33203125" customWidth="1"/>
    <col min="3" max="3" width="12.33203125" bestFit="1" customWidth="1"/>
    <col min="4" max="6" width="7.59765625" bestFit="1" customWidth="1"/>
    <col min="7" max="7" width="6.59765625" bestFit="1" customWidth="1"/>
    <col min="8" max="8" width="10.19921875" bestFit="1" customWidth="1"/>
  </cols>
  <sheetData>
    <row r="3" spans="1:9" x14ac:dyDescent="0.45">
      <c r="A3" s="2" t="s">
        <v>102</v>
      </c>
      <c r="B3" s="2" t="s">
        <v>62</v>
      </c>
    </row>
    <row r="4" spans="1:9" x14ac:dyDescent="0.45">
      <c r="A4" s="2" t="s">
        <v>58</v>
      </c>
      <c r="B4">
        <v>2018</v>
      </c>
      <c r="C4">
        <v>2022</v>
      </c>
    </row>
    <row r="5" spans="1:9" x14ac:dyDescent="0.45">
      <c r="A5" s="3" t="s">
        <v>8</v>
      </c>
      <c r="B5" s="5"/>
      <c r="C5" s="5">
        <v>0.11527757342129488</v>
      </c>
    </row>
    <row r="6" spans="1:9" x14ac:dyDescent="0.45">
      <c r="A6" s="3" t="s">
        <v>25</v>
      </c>
      <c r="B6" s="5"/>
      <c r="C6" s="5">
        <v>-0.35222595079829983</v>
      </c>
    </row>
    <row r="7" spans="1:9" x14ac:dyDescent="0.45">
      <c r="A7" s="3" t="s">
        <v>18</v>
      </c>
      <c r="B7" s="5"/>
      <c r="C7" s="5">
        <v>0.19140557343275691</v>
      </c>
    </row>
    <row r="8" spans="1:9" x14ac:dyDescent="0.45">
      <c r="A8" s="3" t="s">
        <v>30</v>
      </c>
      <c r="B8" s="5"/>
      <c r="C8" s="5">
        <v>2.7581984297070781</v>
      </c>
      <c r="E8" s="38" t="s">
        <v>103</v>
      </c>
      <c r="F8" s="38"/>
      <c r="G8" s="38"/>
      <c r="H8" s="38"/>
      <c r="I8" s="38"/>
    </row>
    <row r="9" spans="1:9" x14ac:dyDescent="0.45">
      <c r="A9" s="3" t="s">
        <v>55</v>
      </c>
      <c r="B9" s="5"/>
      <c r="C9" s="5">
        <v>-0.11045145375336446</v>
      </c>
      <c r="E9" s="38"/>
      <c r="F9" s="38"/>
      <c r="G9" s="38"/>
      <c r="H9" s="38"/>
      <c r="I9" s="38"/>
    </row>
    <row r="11" spans="1:9" x14ac:dyDescent="0.45">
      <c r="A11" s="2" t="s">
        <v>4</v>
      </c>
      <c r="B11" s="3">
        <v>2023</v>
      </c>
    </row>
    <row r="12" spans="1:9" x14ac:dyDescent="0.45">
      <c r="A12" s="2" t="s">
        <v>5</v>
      </c>
      <c r="B12" s="3">
        <v>3</v>
      </c>
    </row>
    <row r="14" spans="1:9" x14ac:dyDescent="0.45">
      <c r="A14" s="2" t="s">
        <v>58</v>
      </c>
      <c r="B14" t="s">
        <v>104</v>
      </c>
    </row>
    <row r="15" spans="1:9" x14ac:dyDescent="0.45">
      <c r="A15" s="3" t="s">
        <v>30</v>
      </c>
      <c r="B15" s="15">
        <v>850749</v>
      </c>
    </row>
    <row r="17" spans="1:3" x14ac:dyDescent="0.45">
      <c r="A17" t="s">
        <v>105</v>
      </c>
      <c r="C17" s="15">
        <f>1.2*B15</f>
        <v>1020898.7999999999</v>
      </c>
    </row>
  </sheetData>
  <mergeCells count="1">
    <mergeCell ref="E8:I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166B-6710-4AC7-83C5-4B1BE535E946}">
  <dimension ref="A1:I7"/>
  <sheetViews>
    <sheetView workbookViewId="0">
      <selection activeCell="A8" sqref="A8"/>
    </sheetView>
  </sheetViews>
  <sheetFormatPr defaultRowHeight="14.25" x14ac:dyDescent="0.45"/>
  <cols>
    <col min="1" max="1" width="12.1328125" bestFit="1" customWidth="1"/>
    <col min="2" max="2" width="26.59765625" style="17" bestFit="1" customWidth="1"/>
    <col min="3" max="3" width="24.1328125" bestFit="1" customWidth="1"/>
    <col min="4" max="4" width="10.265625" style="6" bestFit="1" customWidth="1"/>
    <col min="5" max="5" width="11.86328125" style="6" bestFit="1" customWidth="1"/>
    <col min="6" max="6" width="7.3984375" style="6" bestFit="1" customWidth="1"/>
    <col min="7" max="7" width="19.46484375" bestFit="1" customWidth="1"/>
    <col min="8" max="8" width="22.59765625" bestFit="1" customWidth="1"/>
    <col min="9" max="9" width="14.59765625" bestFit="1" customWidth="1"/>
  </cols>
  <sheetData>
    <row r="1" spans="1:9" x14ac:dyDescent="0.45">
      <c r="A1" t="s">
        <v>73</v>
      </c>
      <c r="B1" s="17" t="s">
        <v>106</v>
      </c>
      <c r="C1" t="s">
        <v>107</v>
      </c>
      <c r="D1" s="6" t="s">
        <v>77</v>
      </c>
      <c r="E1" s="6" t="s">
        <v>108</v>
      </c>
      <c r="F1" s="6" t="s">
        <v>78</v>
      </c>
      <c r="G1" t="s">
        <v>96</v>
      </c>
      <c r="H1" t="s">
        <v>97</v>
      </c>
      <c r="I1" t="s">
        <v>98</v>
      </c>
    </row>
    <row r="2" spans="1:9" x14ac:dyDescent="0.45">
      <c r="A2" t="s">
        <v>109</v>
      </c>
      <c r="B2" s="17">
        <v>0.1</v>
      </c>
      <c r="C2" s="13">
        <f>new_product_launch[[#This Row],[Estimated Unit Market Share]]*'New Category Opportunity'!$C$17</f>
        <v>102089.88</v>
      </c>
      <c r="D2" s="6">
        <v>3.5</v>
      </c>
      <c r="E2" s="7">
        <f>new_product_launch[[#This Row],[Net Price]]*new_product_launch[[#This Row],[Estimated units sold 2024]]</f>
        <v>357314.58</v>
      </c>
      <c r="F2" s="6">
        <v>1.35</v>
      </c>
      <c r="G2" s="14">
        <f>new_product_launch[[#This Row],[Net Price]]-new_product_launch[[#This Row],[COGS]]</f>
        <v>2.15</v>
      </c>
      <c r="H2" s="7">
        <f>new_product_launch[[#This Row],[Gross Profit per unit]]*new_product_launch[[#This Row],[Estimated units sold 2024]]</f>
        <v>219493.242</v>
      </c>
      <c r="I2" s="17">
        <f>new_product_launch[[#This Row],[Gross Profit per product]]/new_product_launch[[#This Row],[Net Sales]]</f>
        <v>0.61428571428571421</v>
      </c>
    </row>
    <row r="3" spans="1:9" x14ac:dyDescent="0.45">
      <c r="A3" t="s">
        <v>110</v>
      </c>
      <c r="B3" s="17">
        <v>0.12</v>
      </c>
      <c r="C3" s="13">
        <f>new_product_launch[[#This Row],[Estimated Unit Market Share]]*'New Category Opportunity'!$C$17</f>
        <v>122507.85599999999</v>
      </c>
      <c r="D3" s="6">
        <v>2.75</v>
      </c>
      <c r="E3" s="7">
        <f>new_product_launch[[#This Row],[Net Price]]*new_product_launch[[#This Row],[Estimated units sold 2024]]</f>
        <v>336896.60399999993</v>
      </c>
      <c r="F3" s="6">
        <v>0.9</v>
      </c>
      <c r="G3" s="14">
        <f>new_product_launch[[#This Row],[Net Price]]-new_product_launch[[#This Row],[COGS]]</f>
        <v>1.85</v>
      </c>
      <c r="H3" s="7">
        <f>new_product_launch[[#This Row],[Gross Profit per unit]]*new_product_launch[[#This Row],[Estimated units sold 2024]]</f>
        <v>226639.5336</v>
      </c>
      <c r="I3" s="17">
        <f>new_product_launch[[#This Row],[Gross Profit per product]]/new_product_launch[[#This Row],[Net Sales]]</f>
        <v>0.67272727272727284</v>
      </c>
    </row>
    <row r="5" spans="1:9" x14ac:dyDescent="0.45">
      <c r="A5" s="31" t="s">
        <v>111</v>
      </c>
      <c r="B5" s="31"/>
      <c r="C5" s="31"/>
      <c r="D5" s="31"/>
      <c r="E5" s="31"/>
      <c r="F5" s="31"/>
      <c r="G5" s="31"/>
    </row>
    <row r="6" spans="1:9" x14ac:dyDescent="0.45">
      <c r="A6" s="31"/>
      <c r="B6" s="31"/>
      <c r="C6" s="31"/>
      <c r="D6" s="31"/>
      <c r="E6" s="31"/>
      <c r="F6" s="31"/>
      <c r="G6" s="31"/>
    </row>
    <row r="7" spans="1:9" x14ac:dyDescent="0.45">
      <c r="A7" s="31"/>
      <c r="B7" s="31"/>
      <c r="C7" s="31"/>
      <c r="D7" s="31"/>
      <c r="E7" s="31"/>
      <c r="F7" s="31"/>
      <c r="G7" s="31"/>
    </row>
  </sheetData>
  <mergeCells count="1">
    <mergeCell ref="A5:G7"/>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AD70-6337-46E9-8512-E065C9F2FEB2}">
  <dimension ref="A1:M12"/>
  <sheetViews>
    <sheetView workbookViewId="0">
      <selection activeCell="I12" sqref="I12"/>
    </sheetView>
  </sheetViews>
  <sheetFormatPr defaultRowHeight="14.25" x14ac:dyDescent="0.45"/>
  <cols>
    <col min="4" max="4" width="22.265625" bestFit="1" customWidth="1"/>
    <col min="8" max="8" width="15" bestFit="1" customWidth="1"/>
    <col min="9" max="9" width="16.19921875" bestFit="1" customWidth="1"/>
    <col min="10" max="10" width="20.6640625" bestFit="1" customWidth="1"/>
    <col min="11" max="11" width="23.86328125" bestFit="1" customWidth="1"/>
    <col min="13" max="13" width="12.59765625" style="19" bestFit="1" customWidth="1"/>
  </cols>
  <sheetData>
    <row r="1" spans="1:13" x14ac:dyDescent="0.45">
      <c r="A1" t="s">
        <v>2</v>
      </c>
      <c r="B1" t="s">
        <v>73</v>
      </c>
      <c r="C1" t="s">
        <v>74</v>
      </c>
      <c r="D1" t="s">
        <v>75</v>
      </c>
      <c r="E1" s="6" t="s">
        <v>76</v>
      </c>
      <c r="F1" s="6" t="s">
        <v>77</v>
      </c>
      <c r="G1" s="6" t="s">
        <v>78</v>
      </c>
      <c r="H1" s="13" t="s">
        <v>79</v>
      </c>
      <c r="I1" s="6" t="s">
        <v>95</v>
      </c>
      <c r="J1" s="6" t="s">
        <v>96</v>
      </c>
      <c r="K1" s="6" t="s">
        <v>97</v>
      </c>
      <c r="L1" s="17" t="s">
        <v>98</v>
      </c>
      <c r="M1" s="19" t="s">
        <v>112</v>
      </c>
    </row>
    <row r="2" spans="1:13" x14ac:dyDescent="0.45">
      <c r="A2" t="s">
        <v>57</v>
      </c>
      <c r="B2" t="s">
        <v>80</v>
      </c>
      <c r="C2">
        <v>100</v>
      </c>
      <c r="D2" t="s">
        <v>81</v>
      </c>
      <c r="E2" s="6">
        <v>5</v>
      </c>
      <c r="F2" s="6">
        <v>3.1</v>
      </c>
      <c r="G2" s="6">
        <v>0.9</v>
      </c>
      <c r="H2" s="13">
        <v>1156348</v>
      </c>
      <c r="I2" s="7">
        <f>internal_sales_data5[[#This Row],[Net Price]]*internal_sales_data5[[#This Row],[Volume 2022]]</f>
        <v>3584678.8000000003</v>
      </c>
      <c r="J2" s="6">
        <f>internal_sales_data5[[#This Row],[Net Price]]-internal_sales_data5[[#This Row],[COGS]]</f>
        <v>2.2000000000000002</v>
      </c>
      <c r="K2" s="7">
        <f>internal_sales_data5[[#This Row],[Gross Profit per unit]]*internal_sales_data5[[#This Row],[Volume 2022]]</f>
        <v>2543965.6</v>
      </c>
      <c r="L2" s="17">
        <f>internal_sales_data5[[#This Row],[Gross Profit per product]]/internal_sales_data5[[#This Row],[Net Sales 2022]]</f>
        <v>0.70967741935483863</v>
      </c>
      <c r="M2" s="19">
        <f>internal_sales_data5[[#This Row],[Retail Price]]/internal_sales_data5[[#This Row],[Pack Size (ml)]]</f>
        <v>0.05</v>
      </c>
    </row>
    <row r="3" spans="1:13" x14ac:dyDescent="0.45">
      <c r="A3" t="s">
        <v>57</v>
      </c>
      <c r="B3" t="s">
        <v>82</v>
      </c>
      <c r="C3">
        <v>100</v>
      </c>
      <c r="D3" t="s">
        <v>83</v>
      </c>
      <c r="E3" s="6">
        <v>5</v>
      </c>
      <c r="F3" s="6">
        <v>2.9</v>
      </c>
      <c r="G3" s="6">
        <v>0.95</v>
      </c>
      <c r="H3" s="13">
        <v>693809</v>
      </c>
      <c r="I3" s="7">
        <f>internal_sales_data5[[#This Row],[Net Price]]*internal_sales_data5[[#This Row],[Volume 2022]]</f>
        <v>2012046.0999999999</v>
      </c>
      <c r="J3" s="6">
        <f>internal_sales_data5[[#This Row],[Net Price]]-internal_sales_data5[[#This Row],[COGS]]</f>
        <v>1.95</v>
      </c>
      <c r="K3" s="7">
        <f>internal_sales_data5[[#This Row],[Gross Profit per unit]]*internal_sales_data5[[#This Row],[Volume 2022]]</f>
        <v>1352927.55</v>
      </c>
      <c r="L3" s="17">
        <f>internal_sales_data5[[#This Row],[Gross Profit per product]]/internal_sales_data5[[#This Row],[Net Sales 2022]]</f>
        <v>0.6724137931034484</v>
      </c>
      <c r="M3" s="19">
        <f>internal_sales_data5[[#This Row],[Retail Price]]/internal_sales_data5[[#This Row],[Pack Size (ml)]]</f>
        <v>0.05</v>
      </c>
    </row>
    <row r="4" spans="1:13" x14ac:dyDescent="0.45">
      <c r="A4" t="s">
        <v>57</v>
      </c>
      <c r="B4" t="s">
        <v>84</v>
      </c>
      <c r="C4">
        <v>100</v>
      </c>
      <c r="D4" t="s">
        <v>85</v>
      </c>
      <c r="E4" s="6">
        <v>5</v>
      </c>
      <c r="F4" s="6">
        <v>2.8</v>
      </c>
      <c r="G4" s="6">
        <v>1</v>
      </c>
      <c r="H4" s="13">
        <v>346904</v>
      </c>
      <c r="I4" s="7">
        <f>internal_sales_data5[[#This Row],[Net Price]]*internal_sales_data5[[#This Row],[Volume 2022]]</f>
        <v>971331.2</v>
      </c>
      <c r="J4" s="6">
        <f>internal_sales_data5[[#This Row],[Net Price]]-internal_sales_data5[[#This Row],[COGS]]</f>
        <v>1.7999999999999998</v>
      </c>
      <c r="K4" s="7">
        <f>internal_sales_data5[[#This Row],[Gross Profit per unit]]*internal_sales_data5[[#This Row],[Volume 2022]]</f>
        <v>624427.19999999995</v>
      </c>
      <c r="L4" s="17">
        <f>internal_sales_data5[[#This Row],[Gross Profit per product]]/internal_sales_data5[[#This Row],[Net Sales 2022]]</f>
        <v>0.64285714285714279</v>
      </c>
      <c r="M4" s="19">
        <f>internal_sales_data5[[#This Row],[Retail Price]]/internal_sales_data5[[#This Row],[Pack Size (ml)]]</f>
        <v>0.05</v>
      </c>
    </row>
    <row r="5" spans="1:13" x14ac:dyDescent="0.45">
      <c r="A5" t="s">
        <v>57</v>
      </c>
      <c r="B5" t="s">
        <v>80</v>
      </c>
      <c r="C5">
        <v>150</v>
      </c>
      <c r="D5" t="s">
        <v>86</v>
      </c>
      <c r="E5" s="6">
        <v>7</v>
      </c>
      <c r="F5" s="6">
        <v>3.5</v>
      </c>
      <c r="G5" s="6">
        <v>1.2</v>
      </c>
      <c r="H5" s="13">
        <v>693809</v>
      </c>
      <c r="I5" s="7">
        <f>internal_sales_data5[[#This Row],[Net Price]]*internal_sales_data5[[#This Row],[Volume 2022]]</f>
        <v>2428331.5</v>
      </c>
      <c r="J5" s="6">
        <f>internal_sales_data5[[#This Row],[Net Price]]-internal_sales_data5[[#This Row],[COGS]]</f>
        <v>2.2999999999999998</v>
      </c>
      <c r="K5" s="7">
        <f>internal_sales_data5[[#This Row],[Gross Profit per unit]]*internal_sales_data5[[#This Row],[Volume 2022]]</f>
        <v>1595760.7</v>
      </c>
      <c r="L5" s="17">
        <f>internal_sales_data5[[#This Row],[Gross Profit per product]]/internal_sales_data5[[#This Row],[Net Sales 2022]]</f>
        <v>0.65714285714285714</v>
      </c>
      <c r="M5" s="19">
        <f>internal_sales_data5[[#This Row],[Retail Price]]/internal_sales_data5[[#This Row],[Pack Size (ml)]]</f>
        <v>4.6666666666666669E-2</v>
      </c>
    </row>
    <row r="6" spans="1:13" x14ac:dyDescent="0.45">
      <c r="A6" t="s">
        <v>57</v>
      </c>
      <c r="B6" t="s">
        <v>84</v>
      </c>
      <c r="C6">
        <v>150</v>
      </c>
      <c r="D6" t="s">
        <v>87</v>
      </c>
      <c r="E6" s="6">
        <v>7.25</v>
      </c>
      <c r="F6" s="6">
        <v>3.7</v>
      </c>
      <c r="G6" s="6">
        <v>1.3</v>
      </c>
      <c r="H6" s="13">
        <v>231270</v>
      </c>
      <c r="I6" s="7">
        <f>internal_sales_data5[[#This Row],[Net Price]]*internal_sales_data5[[#This Row],[Volume 2022]]</f>
        <v>855699</v>
      </c>
      <c r="J6" s="6">
        <f>internal_sales_data5[[#This Row],[Net Price]]-internal_sales_data5[[#This Row],[COGS]]</f>
        <v>2.4000000000000004</v>
      </c>
      <c r="K6" s="7">
        <f>internal_sales_data5[[#This Row],[Gross Profit per unit]]*internal_sales_data5[[#This Row],[Volume 2022]]</f>
        <v>555048.00000000012</v>
      </c>
      <c r="L6" s="17">
        <f>internal_sales_data5[[#This Row],[Gross Profit per product]]/internal_sales_data5[[#This Row],[Net Sales 2022]]</f>
        <v>0.6486486486486488</v>
      </c>
      <c r="M6" s="19">
        <f>internal_sales_data5[[#This Row],[Retail Price]]/internal_sales_data5[[#This Row],[Pack Size (ml)]]</f>
        <v>4.8333333333333332E-2</v>
      </c>
    </row>
    <row r="7" spans="1:13" x14ac:dyDescent="0.45">
      <c r="A7" t="s">
        <v>57</v>
      </c>
      <c r="B7" t="s">
        <v>80</v>
      </c>
      <c r="C7">
        <v>200</v>
      </c>
      <c r="D7" t="s">
        <v>88</v>
      </c>
      <c r="E7" s="6">
        <v>9</v>
      </c>
      <c r="F7" s="6">
        <v>5</v>
      </c>
      <c r="G7" s="6">
        <v>1.5</v>
      </c>
      <c r="H7" s="13">
        <v>289087</v>
      </c>
      <c r="I7" s="7">
        <f>internal_sales_data5[[#This Row],[Net Price]]*internal_sales_data5[[#This Row],[Volume 2022]]</f>
        <v>1445435</v>
      </c>
      <c r="J7" s="6">
        <f>internal_sales_data5[[#This Row],[Net Price]]-internal_sales_data5[[#This Row],[COGS]]</f>
        <v>3.5</v>
      </c>
      <c r="K7" s="7">
        <f>internal_sales_data5[[#This Row],[Gross Profit per unit]]*internal_sales_data5[[#This Row],[Volume 2022]]</f>
        <v>1011804.5</v>
      </c>
      <c r="L7" s="17">
        <f>internal_sales_data5[[#This Row],[Gross Profit per product]]/internal_sales_data5[[#This Row],[Net Sales 2022]]</f>
        <v>0.7</v>
      </c>
      <c r="M7" s="19">
        <f>internal_sales_data5[[#This Row],[Retail Price]]/internal_sales_data5[[#This Row],[Pack Size (ml)]]</f>
        <v>4.4999999999999998E-2</v>
      </c>
    </row>
    <row r="8" spans="1:13" x14ac:dyDescent="0.45">
      <c r="A8" t="s">
        <v>22</v>
      </c>
      <c r="B8" t="s">
        <v>89</v>
      </c>
      <c r="C8">
        <v>100</v>
      </c>
      <c r="D8" t="s">
        <v>90</v>
      </c>
      <c r="E8" s="6">
        <v>6</v>
      </c>
      <c r="F8" s="6">
        <v>3.5</v>
      </c>
      <c r="G8" s="6">
        <v>1.1499999999999999</v>
      </c>
      <c r="H8" s="13">
        <v>1089532</v>
      </c>
      <c r="I8" s="7">
        <f>internal_sales_data5[[#This Row],[Net Price]]*internal_sales_data5[[#This Row],[Volume 2022]]</f>
        <v>3813362</v>
      </c>
      <c r="J8" s="6">
        <f>internal_sales_data5[[#This Row],[Net Price]]-internal_sales_data5[[#This Row],[COGS]]</f>
        <v>2.35</v>
      </c>
      <c r="K8" s="7">
        <f>internal_sales_data5[[#This Row],[Gross Profit per unit]]*internal_sales_data5[[#This Row],[Volume 2022]]</f>
        <v>2560400.2000000002</v>
      </c>
      <c r="L8" s="17">
        <f>internal_sales_data5[[#This Row],[Gross Profit per product]]/internal_sales_data5[[#This Row],[Net Sales 2022]]</f>
        <v>0.67142857142857149</v>
      </c>
      <c r="M8" s="19">
        <f>internal_sales_data5[[#This Row],[Retail Price]]/internal_sales_data5[[#This Row],[Pack Size (ml)]]</f>
        <v>0.06</v>
      </c>
    </row>
    <row r="9" spans="1:13" x14ac:dyDescent="0.45">
      <c r="A9" t="s">
        <v>22</v>
      </c>
      <c r="B9" t="s">
        <v>89</v>
      </c>
      <c r="C9">
        <v>125</v>
      </c>
      <c r="D9" t="s">
        <v>91</v>
      </c>
      <c r="E9" s="6">
        <v>7</v>
      </c>
      <c r="F9" s="6">
        <v>4.25</v>
      </c>
      <c r="G9" s="6">
        <v>1.3</v>
      </c>
      <c r="H9" s="13">
        <v>466942</v>
      </c>
      <c r="I9" s="7">
        <f>internal_sales_data5[[#This Row],[Net Price]]*internal_sales_data5[[#This Row],[Volume 2022]]</f>
        <v>1984503.5</v>
      </c>
      <c r="J9" s="6">
        <f>internal_sales_data5[[#This Row],[Net Price]]-internal_sales_data5[[#This Row],[COGS]]</f>
        <v>2.95</v>
      </c>
      <c r="K9" s="7">
        <f>internal_sales_data5[[#This Row],[Gross Profit per unit]]*internal_sales_data5[[#This Row],[Volume 2022]]</f>
        <v>1377478.9000000001</v>
      </c>
      <c r="L9" s="17">
        <f>internal_sales_data5[[#This Row],[Gross Profit per product]]/internal_sales_data5[[#This Row],[Net Sales 2022]]</f>
        <v>0.69411764705882362</v>
      </c>
      <c r="M9" s="19">
        <f>internal_sales_data5[[#This Row],[Retail Price]]/internal_sales_data5[[#This Row],[Pack Size (ml)]]</f>
        <v>5.6000000000000001E-2</v>
      </c>
    </row>
    <row r="10" spans="1:13" x14ac:dyDescent="0.45">
      <c r="A10" t="s">
        <v>22</v>
      </c>
      <c r="B10" t="s">
        <v>89</v>
      </c>
      <c r="C10">
        <v>150</v>
      </c>
      <c r="D10" t="s">
        <v>92</v>
      </c>
      <c r="E10" s="6">
        <v>8</v>
      </c>
      <c r="F10" s="6">
        <v>5.0999999999999996</v>
      </c>
      <c r="G10" s="6">
        <v>1.5</v>
      </c>
      <c r="H10" s="13">
        <v>389118</v>
      </c>
      <c r="I10" s="7">
        <f>internal_sales_data5[[#This Row],[Net Price]]*internal_sales_data5[[#This Row],[Volume 2022]]</f>
        <v>1984501.7999999998</v>
      </c>
      <c r="J10" s="6">
        <f>internal_sales_data5[[#This Row],[Net Price]]-internal_sales_data5[[#This Row],[COGS]]</f>
        <v>3.5999999999999996</v>
      </c>
      <c r="K10" s="7">
        <f>internal_sales_data5[[#This Row],[Gross Profit per unit]]*internal_sales_data5[[#This Row],[Volume 2022]]</f>
        <v>1400824.7999999998</v>
      </c>
      <c r="L10" s="17">
        <f>internal_sales_data5[[#This Row],[Gross Profit per product]]/internal_sales_data5[[#This Row],[Net Sales 2022]]</f>
        <v>0.70588235294117641</v>
      </c>
      <c r="M10" s="19">
        <f>internal_sales_data5[[#This Row],[Retail Price]]/internal_sales_data5[[#This Row],[Pack Size (ml)]]</f>
        <v>5.3333333333333337E-2</v>
      </c>
    </row>
    <row r="11" spans="1:13" x14ac:dyDescent="0.45">
      <c r="A11" t="s">
        <v>22</v>
      </c>
      <c r="B11" t="s">
        <v>89</v>
      </c>
      <c r="C11">
        <v>200</v>
      </c>
      <c r="D11" t="s">
        <v>93</v>
      </c>
      <c r="E11" s="6">
        <v>10</v>
      </c>
      <c r="F11" s="6">
        <v>6</v>
      </c>
      <c r="G11" s="6">
        <v>1.7</v>
      </c>
      <c r="H11" s="13">
        <v>233471</v>
      </c>
      <c r="I11" s="7">
        <f>internal_sales_data5[[#This Row],[Net Price]]*internal_sales_data5[[#This Row],[Volume 2022]]</f>
        <v>1400826</v>
      </c>
      <c r="J11" s="6">
        <f>internal_sales_data5[[#This Row],[Net Price]]-internal_sales_data5[[#This Row],[COGS]]</f>
        <v>4.3</v>
      </c>
      <c r="K11" s="7">
        <f>internal_sales_data5[[#This Row],[Gross Profit per unit]]*internal_sales_data5[[#This Row],[Volume 2022]]</f>
        <v>1003925.2999999999</v>
      </c>
      <c r="L11" s="17">
        <f>internal_sales_data5[[#This Row],[Gross Profit per product]]/internal_sales_data5[[#This Row],[Net Sales 2022]]</f>
        <v>0.71666666666666656</v>
      </c>
      <c r="M11" s="19">
        <f>internal_sales_data5[[#This Row],[Retail Price]]/internal_sales_data5[[#This Row],[Pack Size (ml)]]</f>
        <v>0.05</v>
      </c>
    </row>
    <row r="12" spans="1:13" x14ac:dyDescent="0.45">
      <c r="A12" t="s">
        <v>57</v>
      </c>
      <c r="B12" t="s">
        <v>80</v>
      </c>
      <c r="C12">
        <v>50</v>
      </c>
      <c r="D12" t="s">
        <v>113</v>
      </c>
      <c r="E12" s="6">
        <f>1.5*M2*50</f>
        <v>3.7500000000000004</v>
      </c>
      <c r="F12" s="6">
        <v>2.2999999999999998</v>
      </c>
      <c r="G12" s="6">
        <v>0.7</v>
      </c>
      <c r="H12" s="13">
        <f>0.1*H2</f>
        <v>115634.8</v>
      </c>
      <c r="I12" s="7">
        <f>internal_sales_data5[[#This Row],[Net Price]]*internal_sales_data5[[#This Row],[Volume 2022]]</f>
        <v>265960.03999999998</v>
      </c>
      <c r="J12" s="6">
        <f>internal_sales_data5[[#This Row],[Net Price]]-internal_sales_data5[[#This Row],[COGS]]</f>
        <v>1.5999999999999999</v>
      </c>
      <c r="K12" s="7">
        <f>internal_sales_data5[[#This Row],[Gross Profit per unit]]*internal_sales_data5[[#This Row],[Volume 2022]]</f>
        <v>185015.67999999999</v>
      </c>
      <c r="L12" s="17">
        <f>internal_sales_data5[[#This Row],[Gross Profit per product]]/internal_sales_data5[[#This Row],[Net Sales 2022]]</f>
        <v>0.69565217391304346</v>
      </c>
      <c r="M12" s="19">
        <f>internal_sales_data5[[#This Row],[Retail Price]]/internal_sales_data5[[#This Row],[Pack Size (ml)]]</f>
        <v>7.5000000000000011E-2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7AB2-725B-45AD-B422-941521F0F4B3}">
  <dimension ref="A1:B17"/>
  <sheetViews>
    <sheetView workbookViewId="0">
      <selection activeCell="B4" sqref="B4"/>
    </sheetView>
  </sheetViews>
  <sheetFormatPr defaultRowHeight="14.25" x14ac:dyDescent="0.45"/>
  <cols>
    <col min="1" max="1" width="12.06640625" bestFit="1" customWidth="1"/>
    <col min="2" max="2" width="18.46484375" bestFit="1" customWidth="1"/>
    <col min="3" max="4" width="9.265625" bestFit="1" customWidth="1"/>
    <col min="5" max="5" width="10.73046875" bestFit="1" customWidth="1"/>
    <col min="6" max="8" width="9.265625" bestFit="1" customWidth="1"/>
    <col min="9" max="9" width="10.73046875" bestFit="1" customWidth="1"/>
    <col min="10" max="11" width="9.265625" bestFit="1" customWidth="1"/>
    <col min="12" max="12" width="10.73046875" bestFit="1" customWidth="1"/>
    <col min="13" max="13" width="9.265625" bestFit="1" customWidth="1"/>
    <col min="14" max="14" width="11.73046875" bestFit="1" customWidth="1"/>
  </cols>
  <sheetData>
    <row r="1" spans="1:2" x14ac:dyDescent="0.45">
      <c r="A1" s="2" t="s">
        <v>4</v>
      </c>
      <c r="B1" s="3">
        <v>2022</v>
      </c>
    </row>
    <row r="3" spans="1:2" x14ac:dyDescent="0.45">
      <c r="A3" s="2" t="s">
        <v>58</v>
      </c>
      <c r="B3" t="s">
        <v>63</v>
      </c>
    </row>
    <row r="4" spans="1:2" x14ac:dyDescent="0.45">
      <c r="A4" s="3" t="s">
        <v>22</v>
      </c>
      <c r="B4" s="1">
        <v>11625500</v>
      </c>
    </row>
    <row r="5" spans="1:2" x14ac:dyDescent="0.45">
      <c r="A5" s="4">
        <v>1</v>
      </c>
      <c r="B5" s="1">
        <v>849590</v>
      </c>
    </row>
    <row r="6" spans="1:2" x14ac:dyDescent="0.45">
      <c r="A6" s="4">
        <v>2</v>
      </c>
      <c r="B6" s="1">
        <v>822290</v>
      </c>
    </row>
    <row r="7" spans="1:2" x14ac:dyDescent="0.45">
      <c r="A7" s="4">
        <v>3</v>
      </c>
      <c r="B7" s="1">
        <v>827649</v>
      </c>
    </row>
    <row r="8" spans="1:2" x14ac:dyDescent="0.45">
      <c r="A8" s="4">
        <v>4</v>
      </c>
      <c r="B8" s="1">
        <v>1445626</v>
      </c>
    </row>
    <row r="9" spans="1:2" x14ac:dyDescent="0.45">
      <c r="A9" s="4">
        <v>5</v>
      </c>
      <c r="B9" s="1">
        <v>874089</v>
      </c>
    </row>
    <row r="10" spans="1:2" x14ac:dyDescent="0.45">
      <c r="A10" s="4">
        <v>6</v>
      </c>
      <c r="B10" s="1">
        <v>876087</v>
      </c>
    </row>
    <row r="11" spans="1:2" x14ac:dyDescent="0.45">
      <c r="A11" s="4">
        <v>7</v>
      </c>
      <c r="B11" s="1">
        <v>842454</v>
      </c>
    </row>
    <row r="12" spans="1:2" x14ac:dyDescent="0.45">
      <c r="A12" s="4">
        <v>8</v>
      </c>
      <c r="B12" s="1">
        <v>1198708</v>
      </c>
    </row>
    <row r="13" spans="1:2" x14ac:dyDescent="0.45">
      <c r="A13" s="4">
        <v>9</v>
      </c>
      <c r="B13" s="1">
        <v>853650</v>
      </c>
    </row>
    <row r="14" spans="1:2" x14ac:dyDescent="0.45">
      <c r="A14" s="4">
        <v>10</v>
      </c>
      <c r="B14" s="1">
        <v>816480</v>
      </c>
    </row>
    <row r="15" spans="1:2" x14ac:dyDescent="0.45">
      <c r="A15" s="4">
        <v>11</v>
      </c>
      <c r="B15" s="1">
        <v>1413646</v>
      </c>
    </row>
    <row r="16" spans="1:2" x14ac:dyDescent="0.45">
      <c r="A16" s="4">
        <v>12</v>
      </c>
      <c r="B16" s="1">
        <v>805231</v>
      </c>
    </row>
    <row r="17" spans="1:2" x14ac:dyDescent="0.45">
      <c r="A17" s="3" t="s">
        <v>59</v>
      </c>
      <c r="B17" s="1">
        <v>11625500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AF6D-07ED-47D4-97A2-2DB77600C02A}">
  <dimension ref="A1:J7"/>
  <sheetViews>
    <sheetView workbookViewId="0">
      <selection activeCell="F2" sqref="F2"/>
    </sheetView>
  </sheetViews>
  <sheetFormatPr defaultRowHeight="14.25" x14ac:dyDescent="0.45"/>
  <cols>
    <col min="1" max="1" width="12.06640625" bestFit="1" customWidth="1"/>
    <col min="2" max="2" width="15.19921875" bestFit="1" customWidth="1"/>
    <col min="3" max="3" width="7.73046875" bestFit="1" customWidth="1"/>
    <col min="4" max="4" width="6.53125" bestFit="1" customWidth="1"/>
    <col min="5" max="5" width="8.46484375" bestFit="1" customWidth="1"/>
    <col min="6" max="6" width="13.3984375" bestFit="1" customWidth="1"/>
    <col min="7" max="7" width="14.6640625" bestFit="1" customWidth="1"/>
    <col min="8" max="9" width="11.86328125" style="7" bestFit="1" customWidth="1"/>
    <col min="10" max="10" width="5.86328125" style="17" bestFit="1" customWidth="1"/>
  </cols>
  <sheetData>
    <row r="1" spans="1:10" x14ac:dyDescent="0.45">
      <c r="A1" t="s">
        <v>114</v>
      </c>
      <c r="B1" t="s">
        <v>115</v>
      </c>
      <c r="C1" t="s">
        <v>2</v>
      </c>
      <c r="D1" t="s">
        <v>4</v>
      </c>
      <c r="E1" t="s">
        <v>5</v>
      </c>
      <c r="F1" t="s">
        <v>116</v>
      </c>
      <c r="G1" t="s">
        <v>117</v>
      </c>
      <c r="H1" s="7" t="s">
        <v>118</v>
      </c>
      <c r="I1" s="7" t="s">
        <v>119</v>
      </c>
      <c r="J1" s="17" t="s">
        <v>120</v>
      </c>
    </row>
    <row r="2" spans="1:10" x14ac:dyDescent="0.45">
      <c r="A2">
        <v>1</v>
      </c>
      <c r="B2" t="s">
        <v>121</v>
      </c>
      <c r="C2" t="s">
        <v>22</v>
      </c>
      <c r="D2">
        <v>2022</v>
      </c>
      <c r="E2">
        <v>4</v>
      </c>
      <c r="F2" s="7">
        <f>VLOOKUP(promotion_analysis[[#This Row],[Month]],'Promotion Graph'!$A$5:$B$16,2,FALSE)</f>
        <v>1445626</v>
      </c>
      <c r="G2" s="7">
        <f>AVERAGEIFS('Promotion Graph'!$B$5:$B$16,'Promotion Graph'!$A$5:$A$16,"&lt;&gt;"&amp;'Promotion Analysis'!$E$2,'Promotion Graph'!$A$5:$A$16,"&lt;&gt;"&amp;'Promotion Analysis'!$E$3,'Promotion Graph'!$A$5:$A$16,"&lt;&gt;"&amp;'Promotion Analysis'!$E$4)</f>
        <v>840835.5555555555</v>
      </c>
      <c r="H2" s="7">
        <f>promotion_analysis[[#This Row],[Value sales]]-promotion_analysis[[#This Row],[Baseline sales ]]</f>
        <v>604790.4444444445</v>
      </c>
      <c r="I2" s="7">
        <v>620000</v>
      </c>
      <c r="J2" s="17">
        <f>(promotion_analysis[[#This Row],[Uplift]]-promotion_analysis[[#This Row],[Costs]])/promotion_analysis[[#This Row],[Costs]]</f>
        <v>-2.453154121863791E-2</v>
      </c>
    </row>
    <row r="3" spans="1:10" x14ac:dyDescent="0.45">
      <c r="A3">
        <v>2</v>
      </c>
      <c r="B3" t="s">
        <v>122</v>
      </c>
      <c r="C3" t="s">
        <v>22</v>
      </c>
      <c r="D3">
        <v>2022</v>
      </c>
      <c r="E3">
        <v>8</v>
      </c>
      <c r="F3" s="7">
        <f>VLOOKUP(promotion_analysis[[#This Row],[Month]],'Promotion Graph'!$A$5:$B$16,2,FALSE)</f>
        <v>1198708</v>
      </c>
      <c r="G3" s="7">
        <f>AVERAGEIFS('Promotion Graph'!$B$5:$B$16,'Promotion Graph'!$A$5:$A$16,"&lt;&gt;"&amp;'Promotion Analysis'!$E$2,'Promotion Graph'!$A$5:$A$16,"&lt;&gt;"&amp;'Promotion Analysis'!$E$3,'Promotion Graph'!$A$5:$A$16,"&lt;&gt;"&amp;'Promotion Analysis'!$E$4)</f>
        <v>840835.5555555555</v>
      </c>
      <c r="H3" s="7">
        <f>promotion_analysis[[#This Row],[Value sales]]-promotion_analysis[[#This Row],[Baseline sales ]]</f>
        <v>357872.4444444445</v>
      </c>
      <c r="I3" s="7">
        <v>320000</v>
      </c>
      <c r="J3" s="17">
        <f>(promotion_analysis[[#This Row],[Uplift]]-promotion_analysis[[#This Row],[Costs]])/promotion_analysis[[#This Row],[Costs]]</f>
        <v>0.11835138888888905</v>
      </c>
    </row>
    <row r="4" spans="1:10" x14ac:dyDescent="0.45">
      <c r="A4">
        <v>3</v>
      </c>
      <c r="B4" t="s">
        <v>123</v>
      </c>
      <c r="C4" t="s">
        <v>22</v>
      </c>
      <c r="D4">
        <v>2022</v>
      </c>
      <c r="E4">
        <v>11</v>
      </c>
      <c r="F4" s="7">
        <f>VLOOKUP(promotion_analysis[[#This Row],[Month]],'Promotion Graph'!$A$5:$B$16,2,FALSE)</f>
        <v>1413646</v>
      </c>
      <c r="G4" s="7">
        <f>AVERAGEIFS('Promotion Graph'!$B$5:$B$16,'Promotion Graph'!$A$5:$A$16,"&lt;&gt;"&amp;'Promotion Analysis'!$E$2,'Promotion Graph'!$A$5:$A$16,"&lt;&gt;"&amp;'Promotion Analysis'!$E$3,'Promotion Graph'!$A$5:$A$16,"&lt;&gt;"&amp;'Promotion Analysis'!$E$4)</f>
        <v>840835.5555555555</v>
      </c>
      <c r="H4" s="7">
        <f>promotion_analysis[[#This Row],[Value sales]]-promotion_analysis[[#This Row],[Baseline sales ]]</f>
        <v>572810.4444444445</v>
      </c>
      <c r="I4" s="7">
        <v>540000</v>
      </c>
      <c r="J4" s="17">
        <f>(promotion_analysis[[#This Row],[Uplift]]-promotion_analysis[[#This Row],[Costs]])/promotion_analysis[[#This Row],[Costs]]</f>
        <v>6.0760082304526848E-2</v>
      </c>
    </row>
    <row r="6" spans="1:10" x14ac:dyDescent="0.45">
      <c r="A6" s="20" t="s">
        <v>124</v>
      </c>
    </row>
    <row r="7" spans="1:10" x14ac:dyDescent="0.45">
      <c r="A7" t="s">
        <v>125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7AF2-5DF1-4897-8A33-DB40F5B1C165}">
  <dimension ref="A1:B8"/>
  <sheetViews>
    <sheetView workbookViewId="0">
      <selection activeCell="A4" sqref="A4"/>
    </sheetView>
  </sheetViews>
  <sheetFormatPr defaultRowHeight="14.25" x14ac:dyDescent="0.45"/>
  <cols>
    <col min="1" max="1" width="12.06640625" bestFit="1" customWidth="1"/>
    <col min="2" max="2" width="18.46484375" bestFit="1" customWidth="1"/>
  </cols>
  <sheetData>
    <row r="1" spans="1:2" x14ac:dyDescent="0.45">
      <c r="A1" s="2" t="s">
        <v>1</v>
      </c>
      <c r="B1" t="s">
        <v>21</v>
      </c>
    </row>
    <row r="3" spans="1:2" x14ac:dyDescent="0.45">
      <c r="A3" s="2" t="s">
        <v>58</v>
      </c>
      <c r="B3" t="s">
        <v>63</v>
      </c>
    </row>
    <row r="4" spans="1:2" x14ac:dyDescent="0.45">
      <c r="A4" s="3">
        <v>2018</v>
      </c>
      <c r="B4" s="1">
        <v>30685269</v>
      </c>
    </row>
    <row r="5" spans="1:2" x14ac:dyDescent="0.45">
      <c r="A5" s="3">
        <v>2019</v>
      </c>
      <c r="B5" s="1">
        <v>29261549</v>
      </c>
    </row>
    <row r="6" spans="1:2" x14ac:dyDescent="0.45">
      <c r="A6" s="3">
        <v>2020</v>
      </c>
      <c r="B6" s="1">
        <v>30370933</v>
      </c>
    </row>
    <row r="7" spans="1:2" x14ac:dyDescent="0.45">
      <c r="A7" s="3">
        <v>2021</v>
      </c>
      <c r="B7" s="1">
        <v>30710796</v>
      </c>
    </row>
    <row r="8" spans="1:2" x14ac:dyDescent="0.45">
      <c r="A8" s="3">
        <v>2022</v>
      </c>
      <c r="B8" s="1">
        <v>31442892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8BE8-4FD4-40A9-81C8-5125055E7DA9}">
  <dimension ref="A1:G8"/>
  <sheetViews>
    <sheetView zoomScale="90" zoomScaleNormal="90" workbookViewId="0">
      <selection activeCell="G6" sqref="G6"/>
    </sheetView>
  </sheetViews>
  <sheetFormatPr defaultRowHeight="14.25" x14ac:dyDescent="0.45"/>
  <cols>
    <col min="1" max="1" width="9.59765625" customWidth="1"/>
    <col min="2" max="3" width="11.73046875" bestFit="1" customWidth="1"/>
    <col min="4" max="4" width="23" customWidth="1"/>
    <col min="5" max="5" width="23.06640625" customWidth="1"/>
    <col min="6" max="6" width="11.73046875" bestFit="1" customWidth="1"/>
    <col min="7" max="7" width="9.06640625" style="21"/>
  </cols>
  <sheetData>
    <row r="1" spans="1:7" x14ac:dyDescent="0.45">
      <c r="A1" t="s">
        <v>127</v>
      </c>
      <c r="B1" t="s">
        <v>126</v>
      </c>
      <c r="C1" t="s">
        <v>128</v>
      </c>
      <c r="D1" t="s">
        <v>129</v>
      </c>
      <c r="E1" t="s">
        <v>130</v>
      </c>
      <c r="F1" t="s">
        <v>108</v>
      </c>
      <c r="G1" s="21" t="s">
        <v>131</v>
      </c>
    </row>
    <row r="2" spans="1:7" x14ac:dyDescent="0.45">
      <c r="A2">
        <v>2018</v>
      </c>
      <c r="B2" s="1">
        <v>30685269</v>
      </c>
      <c r="F2" s="1"/>
    </row>
    <row r="3" spans="1:7" x14ac:dyDescent="0.45">
      <c r="A3">
        <v>2019</v>
      </c>
      <c r="B3" s="1">
        <v>29261549</v>
      </c>
      <c r="F3" s="1"/>
    </row>
    <row r="4" spans="1:7" x14ac:dyDescent="0.45">
      <c r="A4">
        <v>2020</v>
      </c>
      <c r="B4" s="1">
        <v>30370933</v>
      </c>
      <c r="F4" s="1"/>
    </row>
    <row r="5" spans="1:7" x14ac:dyDescent="0.45">
      <c r="A5">
        <v>2021</v>
      </c>
      <c r="B5" s="1">
        <v>30710796</v>
      </c>
      <c r="F5" s="1"/>
    </row>
    <row r="6" spans="1:7" x14ac:dyDescent="0.45">
      <c r="A6">
        <v>2022</v>
      </c>
      <c r="B6" s="1">
        <v>31442892</v>
      </c>
      <c r="C6" s="1">
        <v>31442892</v>
      </c>
      <c r="D6" s="1">
        <v>31442892</v>
      </c>
      <c r="E6" s="1">
        <v>31442892</v>
      </c>
      <c r="F6" s="1">
        <v>20480714.900000002</v>
      </c>
      <c r="G6" s="17">
        <f>Table6[[#This Row],[Net Sales]]/Table6[[#This Row],[Market values]]</f>
        <v>0.65136231425531732</v>
      </c>
    </row>
    <row r="7" spans="1:7" x14ac:dyDescent="0.45">
      <c r="A7">
        <v>2023</v>
      </c>
      <c r="C7" s="1">
        <f>_xlfn.FORECAST.ETS(A7,$B$2:$B$6,$A$2:$A$6,1,1)</f>
        <v>31635324.071610071</v>
      </c>
      <c r="D7" s="1">
        <f>C7-_xlfn.FORECAST.ETS.CONFINT(A7,$B$2:$B$6,$A$2:$A$6,0.95,1,1)</f>
        <v>30014004.36554271</v>
      </c>
      <c r="E7" s="1">
        <f>C7+_xlfn.FORECAST.ETS.CONFINT(A7,$B$2:$B$6,$A$2:$A$6,0.95,1,1)</f>
        <v>33256643.777677432</v>
      </c>
      <c r="F7" s="1">
        <f>Table6[[#This Row],[Forecast]]*$G$6</f>
        <v>20606057.899500884</v>
      </c>
    </row>
    <row r="8" spans="1:7" x14ac:dyDescent="0.45">
      <c r="A8">
        <v>2024</v>
      </c>
      <c r="C8" s="1">
        <f>_xlfn.FORECAST.ETS(A8,$B$2:$B$6,$A$2:$A$6,1,1)</f>
        <v>31946447.752088487</v>
      </c>
      <c r="D8" s="1">
        <f>C8-_xlfn.FORECAST.ETS.CONFINT(A8,$B$2:$B$6,$A$2:$A$6,0.95,1,1)</f>
        <v>30274835.684028216</v>
      </c>
      <c r="E8" s="1">
        <f>C8+_xlfn.FORECAST.ETS.CONFINT(A8,$B$2:$B$6,$A$2:$A$6,0.95,1,1)</f>
        <v>33618059.820148759</v>
      </c>
      <c r="F8" s="1">
        <f>Table6[[#This Row],[Forecast]]*$G$6</f>
        <v>20808712.140036937</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AD2F-4C49-41A7-86BE-D014924E173E}">
  <dimension ref="A1:E2"/>
  <sheetViews>
    <sheetView tabSelected="1" workbookViewId="0">
      <selection activeCell="E2" sqref="E2"/>
    </sheetView>
  </sheetViews>
  <sheetFormatPr defaultRowHeight="14.25" x14ac:dyDescent="0.45"/>
  <cols>
    <col min="1" max="1" width="24.06640625" style="6" customWidth="1"/>
    <col min="2" max="2" width="16.1328125" style="6" customWidth="1"/>
    <col min="3" max="3" width="18.06640625" style="6" customWidth="1"/>
    <col min="4" max="4" width="15.9296875" style="6" customWidth="1"/>
    <col min="5" max="5" width="22.86328125" customWidth="1"/>
  </cols>
  <sheetData>
    <row r="1" spans="1:5" x14ac:dyDescent="0.45">
      <c r="A1" s="6" t="s">
        <v>132</v>
      </c>
      <c r="B1" s="6" t="s">
        <v>133</v>
      </c>
      <c r="C1" s="6" t="s">
        <v>134</v>
      </c>
      <c r="D1" s="6" t="s">
        <v>135</v>
      </c>
      <c r="E1" t="s">
        <v>136</v>
      </c>
    </row>
    <row r="2" spans="1:5" x14ac:dyDescent="0.45">
      <c r="A2" s="6">
        <f>'Forecast 2024'!F7</f>
        <v>20606057.899500884</v>
      </c>
      <c r="B2" s="6">
        <f>'Forecast 2024'!F8-'Forecast 2024'!F7</f>
        <v>202654.24053605273</v>
      </c>
      <c r="C2" s="6">
        <f>'Organic Shampoo Launch'!E3</f>
        <v>336896.60399999993</v>
      </c>
      <c r="D2" s="6">
        <f>'50ml Shampoo 2024'!I12</f>
        <v>265960.03999999998</v>
      </c>
      <c r="E2" s="6">
        <f>SUM(A2:D2)</f>
        <v>21411568.784036934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External Data</vt:lpstr>
      <vt:lpstr>Brands per Supplier</vt:lpstr>
      <vt:lpstr>HealthMax YoY Growth</vt:lpstr>
      <vt:lpstr>MAT Value Total Category</vt:lpstr>
      <vt:lpstr>Market Share</vt:lpstr>
      <vt:lpstr>Internal Sales Data</vt:lpstr>
      <vt:lpstr>Profitability Matrix</vt:lpstr>
      <vt:lpstr>New Category Opportunity</vt:lpstr>
      <vt:lpstr>Organic Shampoo Launch</vt:lpstr>
      <vt:lpstr>50ml Shampoo 2024</vt:lpstr>
      <vt:lpstr>Promotion Graph</vt:lpstr>
      <vt:lpstr>Promotion Analysis</vt:lpstr>
      <vt:lpstr>Sales until 2022</vt:lpstr>
      <vt:lpstr>Forecast 2024</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Amrutha Holla Barimar</cp:lastModifiedBy>
  <dcterms:created xsi:type="dcterms:W3CDTF">2022-06-08T14:08:07Z</dcterms:created>
  <dcterms:modified xsi:type="dcterms:W3CDTF">2026-03-27T17:04:06Z</dcterms:modified>
</cp:coreProperties>
</file>